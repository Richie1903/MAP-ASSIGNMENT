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69a348b6375ed6/"/>
    </mc:Choice>
  </mc:AlternateContent>
  <xr:revisionPtr revIDLastSave="19" documentId="11_C4DD763920C7A3352DCCE3356CCAFFD69D2C8BE1" xr6:coauthVersionLast="47" xr6:coauthVersionMax="47" xr10:uidLastSave="{14522C16-D5E8-4719-A5AE-77C506AD71D6}"/>
  <bookViews>
    <workbookView xWindow="-108" yWindow="-108" windowWidth="23256" windowHeight="12456" activeTab="2" xr2:uid="{00000000-000D-0000-FFFF-FFFF00000000}"/>
  </bookViews>
  <sheets>
    <sheet name="SALES" sheetId="1" r:id="rId1"/>
    <sheet name="MARKETING" sheetId="2" r:id="rId2"/>
    <sheet name="FINANCE" sheetId="3" r:id="rId3"/>
    <sheet name="HR" sheetId="4" r:id="rId4"/>
    <sheet name="INSURANCE" sheetId="5" r:id="rId5"/>
  </sheets>
  <calcPr calcId="191029"/>
  <pivotCaches>
    <pivotCache cacheId="0" r:id="rId6"/>
    <pivotCache cacheId="1" r:id="rId7"/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5" l="1"/>
  <c r="C54" i="5"/>
  <c r="C52" i="5"/>
  <c r="C51" i="5"/>
  <c r="C47" i="5"/>
  <c r="C46" i="5"/>
  <c r="C47" i="4"/>
  <c r="C46" i="4"/>
  <c r="C47" i="2"/>
  <c r="C46" i="2"/>
  <c r="C47" i="1"/>
  <c r="C46" i="1"/>
  <c r="C43" i="5"/>
  <c r="C34" i="5"/>
  <c r="C33" i="5"/>
  <c r="C32" i="5"/>
  <c r="C31" i="5"/>
  <c r="C27" i="5"/>
  <c r="C26" i="5"/>
  <c r="C23" i="5"/>
  <c r="C22" i="5"/>
  <c r="C21" i="5"/>
  <c r="C20" i="5"/>
  <c r="C19" i="5"/>
  <c r="C55" i="4"/>
  <c r="C54" i="4"/>
  <c r="C53" i="4"/>
  <c r="C52" i="4"/>
  <c r="C51" i="4"/>
  <c r="C43" i="4"/>
  <c r="C33" i="4"/>
  <c r="C32" i="4"/>
  <c r="C31" i="4"/>
  <c r="C28" i="4"/>
  <c r="C27" i="4"/>
  <c r="C26" i="4"/>
  <c r="C23" i="4"/>
  <c r="C22" i="4"/>
  <c r="C21" i="4"/>
  <c r="C20" i="4"/>
  <c r="C19" i="4"/>
  <c r="C42" i="4" s="1"/>
  <c r="C55" i="2"/>
  <c r="C54" i="2"/>
  <c r="C53" i="2"/>
  <c r="C52" i="2"/>
  <c r="C51" i="2"/>
  <c r="C43" i="2"/>
  <c r="C34" i="2"/>
  <c r="C33" i="2"/>
  <c r="C32" i="2"/>
  <c r="C31" i="2"/>
  <c r="C28" i="2"/>
  <c r="C27" i="2"/>
  <c r="C26" i="2"/>
  <c r="C23" i="2"/>
  <c r="C22" i="2"/>
  <c r="C21" i="2"/>
  <c r="C20" i="2"/>
  <c r="C19" i="2"/>
  <c r="C42" i="2" s="1"/>
  <c r="C55" i="1"/>
  <c r="C54" i="1"/>
  <c r="C52" i="1"/>
  <c r="C51" i="1"/>
  <c r="C38" i="5"/>
  <c r="C37" i="5"/>
  <c r="C28" i="5"/>
  <c r="C42" i="5"/>
  <c r="C38" i="4"/>
  <c r="C37" i="4"/>
  <c r="C34" i="4"/>
  <c r="C38" i="3"/>
  <c r="C37" i="3"/>
  <c r="C33" i="3"/>
  <c r="C32" i="3"/>
  <c r="C38" i="2"/>
  <c r="C37" i="2"/>
  <c r="C26" i="1"/>
  <c r="C43" i="1"/>
  <c r="C42" i="1"/>
  <c r="C38" i="1"/>
  <c r="C37" i="1"/>
  <c r="C34" i="1"/>
  <c r="C33" i="1"/>
  <c r="C32" i="1"/>
  <c r="C31" i="1"/>
  <c r="C28" i="1"/>
  <c r="C27" i="1"/>
  <c r="C23" i="1"/>
  <c r="C22" i="1"/>
  <c r="C21" i="1"/>
  <c r="C20" i="1"/>
  <c r="C19" i="1"/>
  <c r="C9" i="3"/>
  <c r="C13" i="3"/>
  <c r="C14" i="3"/>
  <c r="C15" i="3"/>
  <c r="C16" i="3"/>
  <c r="B14" i="3"/>
  <c r="B15" i="3"/>
  <c r="B16" i="3"/>
  <c r="B3" i="3"/>
  <c r="C3" i="3" s="1"/>
  <c r="B4" i="3"/>
  <c r="B5" i="3"/>
  <c r="C5" i="3" s="1"/>
  <c r="B6" i="3"/>
  <c r="C6" i="3" s="1"/>
  <c r="B7" i="3"/>
  <c r="C7" i="3" s="1"/>
  <c r="B8" i="3"/>
  <c r="C8" i="3" s="1"/>
  <c r="B9" i="3"/>
  <c r="B10" i="3"/>
  <c r="B11" i="3"/>
  <c r="C11" i="3" s="1"/>
  <c r="B12" i="3"/>
  <c r="C12" i="3" s="1"/>
  <c r="B13" i="3"/>
  <c r="B2" i="3"/>
  <c r="C4" i="3" l="1"/>
  <c r="C46" i="3" s="1"/>
  <c r="C2" i="3"/>
  <c r="C31" i="3"/>
  <c r="C47" i="3"/>
  <c r="C10" i="3"/>
  <c r="C34" i="3" s="1"/>
  <c r="C22" i="3" l="1"/>
  <c r="C26" i="3"/>
  <c r="C23" i="3"/>
  <c r="C21" i="3"/>
  <c r="C55" i="3"/>
  <c r="C20" i="3"/>
  <c r="C19" i="3"/>
  <c r="C42" i="3" s="1"/>
  <c r="C54" i="3"/>
  <c r="C52" i="3"/>
  <c r="C51" i="3"/>
  <c r="C43" i="3"/>
  <c r="C28" i="3"/>
  <c r="C27" i="3"/>
</calcChain>
</file>

<file path=xl/sharedStrings.xml><?xml version="1.0" encoding="utf-8"?>
<sst xmlns="http://schemas.openxmlformats.org/spreadsheetml/2006/main" count="330" uniqueCount="128">
  <si>
    <t>Date</t>
  </si>
  <si>
    <t>Product</t>
  </si>
  <si>
    <t>Region</t>
  </si>
  <si>
    <t>Sales Amount</t>
  </si>
  <si>
    <t>Profit</t>
  </si>
  <si>
    <t>North</t>
  </si>
  <si>
    <t>East</t>
  </si>
  <si>
    <t>South</t>
  </si>
  <si>
    <t>West</t>
  </si>
  <si>
    <t>Campaign</t>
  </si>
  <si>
    <t>Leads generated</t>
  </si>
  <si>
    <t>Cost</t>
  </si>
  <si>
    <t>Conversion rate</t>
  </si>
  <si>
    <t>Revenue</t>
  </si>
  <si>
    <t>Expenses</t>
  </si>
  <si>
    <t>Budget vs Actual</t>
  </si>
  <si>
    <t>Department</t>
  </si>
  <si>
    <t>Salary</t>
  </si>
  <si>
    <t>Experience</t>
  </si>
  <si>
    <t>Attrition</t>
  </si>
  <si>
    <t>Sales</t>
  </si>
  <si>
    <t>Marketing</t>
  </si>
  <si>
    <t>Finance</t>
  </si>
  <si>
    <t>HR</t>
  </si>
  <si>
    <t>IT</t>
  </si>
  <si>
    <t>yes</t>
  </si>
  <si>
    <t>no</t>
  </si>
  <si>
    <t>Premium</t>
  </si>
  <si>
    <t>Policy Type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</si>
  <si>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</si>
  <si>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</si>
  <si>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</si>
  <si>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</si>
  <si>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</si>
  <si>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</si>
  <si>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</si>
  <si>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</si>
  <si>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</si>
  <si>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</si>
  <si>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</si>
  <si>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</si>
  <si>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</si>
  <si>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</si>
  <si>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</si>
  <si>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Health</t>
  </si>
  <si>
    <t>Life</t>
  </si>
  <si>
    <t>Vehicle</t>
  </si>
  <si>
    <t>Home</t>
  </si>
  <si>
    <t>Mathematical Functions</t>
  </si>
  <si>
    <t>SUM</t>
  </si>
  <si>
    <t>AVERAGE</t>
  </si>
  <si>
    <t>MIN</t>
  </si>
  <si>
    <t>MAX</t>
  </si>
  <si>
    <t>COUNT</t>
  </si>
  <si>
    <t>Logical functions</t>
  </si>
  <si>
    <t>IF</t>
  </si>
  <si>
    <t>AND</t>
  </si>
  <si>
    <t>OR</t>
  </si>
  <si>
    <t>Text functions</t>
  </si>
  <si>
    <t>LEFT</t>
  </si>
  <si>
    <t>RIGHT</t>
  </si>
  <si>
    <t>MID</t>
  </si>
  <si>
    <t>CONCAT</t>
  </si>
  <si>
    <t>Data functions</t>
  </si>
  <si>
    <t>TODAY</t>
  </si>
  <si>
    <t>NOW</t>
  </si>
  <si>
    <t>DATEDIF</t>
  </si>
  <si>
    <t>Financial functions</t>
  </si>
  <si>
    <t>PMT</t>
  </si>
  <si>
    <t>NPV</t>
  </si>
  <si>
    <t>Lookup functions</t>
  </si>
  <si>
    <t>VLOOUP</t>
  </si>
  <si>
    <t>HLOOKUP</t>
  </si>
  <si>
    <t>XLOOKUP</t>
  </si>
  <si>
    <t>Statistical functions</t>
  </si>
  <si>
    <t>MEAN</t>
  </si>
  <si>
    <t>MEDIAN</t>
  </si>
  <si>
    <t>MODE</t>
  </si>
  <si>
    <t>STANDARD DEVIATION</t>
  </si>
  <si>
    <t>CORRELATION</t>
  </si>
  <si>
    <t>Row Labels</t>
  </si>
  <si>
    <t>Grand Total</t>
  </si>
  <si>
    <t>Sum of Profit</t>
  </si>
  <si>
    <t>Sum of Expenses</t>
  </si>
  <si>
    <t>Sum of Premium</t>
  </si>
  <si>
    <t>Employee ID</t>
  </si>
  <si>
    <t>Policy Number</t>
  </si>
  <si>
    <t>Customer Age</t>
  </si>
  <si>
    <t>Claim Amount</t>
  </si>
  <si>
    <t>01.04.2025</t>
  </si>
  <si>
    <t>04.04.2025</t>
  </si>
  <si>
    <t>12.04.2025</t>
  </si>
  <si>
    <t>14.05.2025</t>
  </si>
  <si>
    <t>22.05.2025</t>
  </si>
  <si>
    <t>23.05.2025</t>
  </si>
  <si>
    <t>27.05.2025</t>
  </si>
  <si>
    <t>11.06.2025</t>
  </si>
  <si>
    <t>13.06.2025</t>
  </si>
  <si>
    <t>17.06.2025</t>
  </si>
  <si>
    <t>27.06.2025</t>
  </si>
  <si>
    <t>08.07.2025</t>
  </si>
  <si>
    <t>19.07.2025</t>
  </si>
  <si>
    <t>21.07.2025</t>
  </si>
  <si>
    <t>31.07.2025</t>
  </si>
  <si>
    <t>Amravati</t>
  </si>
  <si>
    <t>Washim</t>
  </si>
  <si>
    <t>Yavatmal</t>
  </si>
  <si>
    <t>Akola</t>
  </si>
  <si>
    <t>Diwali</t>
  </si>
  <si>
    <t>Sunday</t>
  </si>
  <si>
    <t>Sankranti</t>
  </si>
  <si>
    <t>Holi</t>
  </si>
  <si>
    <t>Holloween</t>
  </si>
  <si>
    <t>Dindi</t>
  </si>
  <si>
    <t>Valentine's</t>
  </si>
  <si>
    <t>Mahalaxmi</t>
  </si>
  <si>
    <t>Padwa</t>
  </si>
  <si>
    <t>Shiv jayanti</t>
  </si>
  <si>
    <t>Shivratri</t>
  </si>
  <si>
    <t>Children's</t>
  </si>
  <si>
    <t>Teacher's day</t>
  </si>
  <si>
    <t>Republic day</t>
  </si>
  <si>
    <t>Janmastami</t>
  </si>
  <si>
    <t>Jeans</t>
  </si>
  <si>
    <t>T-Shirt</t>
  </si>
  <si>
    <t>Saree</t>
  </si>
  <si>
    <t>Pants</t>
  </si>
  <si>
    <t>Kurties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</si>
</sst>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  <xf numFmtId="22" fontId="0" fillId="0" borderId="1" xfId="0" applyNumberFormat="1" applyBorder="1" applyAlignment="1">
      <alignment horizontal="left"/>
    </xf>
    <xf numFmtId="8" fontId="0" fillId="0" borderId="1" xfId="0" applyNumberFormat="1" applyBorder="1" applyAlignment="1">
      <alignment horizontal="left"/>
    </xf>
    <xf numFmtId="0" fontId="0" fillId="0" borderId="0" xfId="0" pivotButton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indent="1"/>
    </xf>
  </cellXfs>
  <cellStyles count="1">
    <cellStyle name="Normal" xfId="0" builtinId="0"/>
  </cellStyles>
  <dxfs count="34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SALES!$C$2:$C$16</c:f>
              <c:strCache>
                <c:ptCount val="15"/>
                <c:pt idx="0">
                  <c:v>Amravati</c:v>
                </c:pt>
                <c:pt idx="1">
                  <c:v>Washim</c:v>
                </c:pt>
                <c:pt idx="2">
                  <c:v>Yavatmal</c:v>
                </c:pt>
                <c:pt idx="3">
                  <c:v>Amravati</c:v>
                </c:pt>
                <c:pt idx="4">
                  <c:v>Akola</c:v>
                </c:pt>
                <c:pt idx="5">
                  <c:v>Yavatmal</c:v>
                </c:pt>
                <c:pt idx="6">
                  <c:v>Washim</c:v>
                </c:pt>
                <c:pt idx="7">
                  <c:v>Akola</c:v>
                </c:pt>
                <c:pt idx="8">
                  <c:v>Akola</c:v>
                </c:pt>
                <c:pt idx="9">
                  <c:v>Yavatmal</c:v>
                </c:pt>
                <c:pt idx="10">
                  <c:v>Amravati</c:v>
                </c:pt>
                <c:pt idx="11">
                  <c:v>Akola</c:v>
                </c:pt>
                <c:pt idx="12">
                  <c:v>Amravati</c:v>
                </c:pt>
                <c:pt idx="13">
                  <c:v>Washim</c:v>
                </c:pt>
                <c:pt idx="14">
                  <c:v>Yavatmal</c:v>
                </c:pt>
              </c:strCache>
            </c:strRef>
          </c:cat>
          <c:val>
            <c:numRef>
              <c:f>SALES!$D$2:$D$16</c:f>
              <c:numCache>
                <c:formatCode>General</c:formatCode>
                <c:ptCount val="15"/>
                <c:pt idx="0">
                  <c:v>1200000</c:v>
                </c:pt>
                <c:pt idx="1">
                  <c:v>3400000</c:v>
                </c:pt>
                <c:pt idx="2">
                  <c:v>2100000</c:v>
                </c:pt>
                <c:pt idx="3">
                  <c:v>4500000</c:v>
                </c:pt>
                <c:pt idx="4">
                  <c:v>3700000</c:v>
                </c:pt>
                <c:pt idx="5">
                  <c:v>5400000</c:v>
                </c:pt>
                <c:pt idx="6">
                  <c:v>7600000</c:v>
                </c:pt>
                <c:pt idx="7">
                  <c:v>6500000</c:v>
                </c:pt>
                <c:pt idx="8">
                  <c:v>8700000</c:v>
                </c:pt>
                <c:pt idx="9">
                  <c:v>5700000</c:v>
                </c:pt>
                <c:pt idx="10">
                  <c:v>1100000</c:v>
                </c:pt>
                <c:pt idx="11">
                  <c:v>6300000</c:v>
                </c:pt>
                <c:pt idx="12">
                  <c:v>2700000</c:v>
                </c:pt>
                <c:pt idx="13">
                  <c:v>3900000</c:v>
                </c:pt>
                <c:pt idx="14">
                  <c:v>9800000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D-4ADA-9E3A-77BA793B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8667648"/>
        <c:axId val="48673536"/>
      </c:barChart>
      <c:catAx>
        <c:axId val="48667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536"/>
        <c:crosses val="autoZero"/>
        <c:auto val="1"/>
        <c:lblAlgn val="ctr"/>
        <c:lblOffset val="100"/>
        <c:noMultiLvlLbl val="0"/>
      </c:catAx>
      <c:valAx>
        <c:axId val="48673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MARKETING!$B$1</c:f>
              <c:strCache>
                <c:ptCount val="1"/>
                <c:pt idx="0">
                  <c:v>Leads generated</c:v>
                </c:pt>
              </c:strCache>
            </c:strRef>
          </c:tx>
          <c:spPr>
            <a:ln w="28575">
              <a:noFill/>
            </a:ln>
          </c:spPr>
          <c:xVal>
            <c:strRef>
              <c:f>MARKETING!$A$2:$A$16</c:f>
              <c:strCache>
                <c:ptCount val="15"/>
                <c:pt idx="0">
                  <c:v>Diwali</c:v>
                </c:pt>
                <c:pt idx="1">
                  <c:v>Sunday</c:v>
                </c:pt>
                <c:pt idx="2">
                  <c:v>Sankranti</c:v>
                </c:pt>
                <c:pt idx="3">
                  <c:v>Holi</c:v>
                </c:pt>
                <c:pt idx="4">
                  <c:v>Holloween</c:v>
                </c:pt>
                <c:pt idx="5">
                  <c:v>Dindi</c:v>
                </c:pt>
                <c:pt idx="6">
                  <c:v>Valentine's</c:v>
                </c:pt>
                <c:pt idx="7">
                  <c:v>Mahalaxmi</c:v>
                </c:pt>
                <c:pt idx="8">
                  <c:v>Padwa</c:v>
                </c:pt>
                <c:pt idx="9">
                  <c:v>Shiv jayanti</c:v>
                </c:pt>
                <c:pt idx="10">
                  <c:v>Shivratri</c:v>
                </c:pt>
                <c:pt idx="11">
                  <c:v>Children's</c:v>
                </c:pt>
                <c:pt idx="12">
                  <c:v>Teacher's day</c:v>
                </c:pt>
                <c:pt idx="13">
                  <c:v>Republic day</c:v>
                </c:pt>
                <c:pt idx="14">
                  <c:v>Janmastami</c:v>
                </c:pt>
              </c:strCache>
            </c:strRef>
          </c:xVal>
          <c:yVal>
            <c:numRef>
              <c:f>MARKETING!$B$2:$B$16</c:f>
              <c:numCache>
                <c:formatCode>General</c:formatCode>
                <c:ptCount val="15"/>
                <c:pt idx="0">
                  <c:v>650</c:v>
                </c:pt>
                <c:pt idx="1">
                  <c:v>120</c:v>
                </c:pt>
                <c:pt idx="2">
                  <c:v>450</c:v>
                </c:pt>
                <c:pt idx="3">
                  <c:v>320</c:v>
                </c:pt>
                <c:pt idx="4">
                  <c:v>820</c:v>
                </c:pt>
                <c:pt idx="5">
                  <c:v>610</c:v>
                </c:pt>
                <c:pt idx="6">
                  <c:v>480</c:v>
                </c:pt>
                <c:pt idx="7">
                  <c:v>590</c:v>
                </c:pt>
                <c:pt idx="8">
                  <c:v>840</c:v>
                </c:pt>
                <c:pt idx="9">
                  <c:v>510</c:v>
                </c:pt>
                <c:pt idx="10">
                  <c:v>140</c:v>
                </c:pt>
                <c:pt idx="11">
                  <c:v>740</c:v>
                </c:pt>
                <c:pt idx="12">
                  <c:v>280</c:v>
                </c:pt>
                <c:pt idx="13">
                  <c:v>430</c:v>
                </c:pt>
                <c:pt idx="14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5-43F3-B411-6E8AABFDAF3B}"/>
            </c:ext>
          </c:extLst>
        </c:ser>
        <c:ser>
          <c:idx val="1"/>
          <c:order val="1"/>
          <c:tx>
            <c:strRef>
              <c:f>MARKETING!$C$1</c:f>
              <c:strCache>
                <c:ptCount val="1"/>
                <c:pt idx="0">
                  <c:v>Cost</c:v>
                </c:pt>
              </c:strCache>
            </c:strRef>
          </c:tx>
          <c:spPr>
            <a:ln w="28575">
              <a:noFill/>
            </a:ln>
          </c:spPr>
          <c:xVal>
            <c:strRef>
              <c:f>MARKETING!$A$2:$A$16</c:f>
              <c:strCache>
                <c:ptCount val="15"/>
                <c:pt idx="0">
                  <c:v>Diwali</c:v>
                </c:pt>
                <c:pt idx="1">
                  <c:v>Sunday</c:v>
                </c:pt>
                <c:pt idx="2">
                  <c:v>Sankranti</c:v>
                </c:pt>
                <c:pt idx="3">
                  <c:v>Holi</c:v>
                </c:pt>
                <c:pt idx="4">
                  <c:v>Holloween</c:v>
                </c:pt>
                <c:pt idx="5">
                  <c:v>Dindi</c:v>
                </c:pt>
                <c:pt idx="6">
                  <c:v>Valentine's</c:v>
                </c:pt>
                <c:pt idx="7">
                  <c:v>Mahalaxmi</c:v>
                </c:pt>
                <c:pt idx="8">
                  <c:v>Padwa</c:v>
                </c:pt>
                <c:pt idx="9">
                  <c:v>Shiv jayanti</c:v>
                </c:pt>
                <c:pt idx="10">
                  <c:v>Shivratri</c:v>
                </c:pt>
                <c:pt idx="11">
                  <c:v>Children's</c:v>
                </c:pt>
                <c:pt idx="12">
                  <c:v>Teacher's day</c:v>
                </c:pt>
                <c:pt idx="13">
                  <c:v>Republic day</c:v>
                </c:pt>
                <c:pt idx="14">
                  <c:v>Janmastami</c:v>
                </c:pt>
              </c:strCache>
            </c:strRef>
          </c:xVal>
          <c:yVal>
            <c:numRef>
              <c:f>MARKETING!$C$2:$C$16</c:f>
              <c:numCache>
                <c:formatCode>General</c:formatCode>
                <c:ptCount val="15"/>
                <c:pt idx="0">
                  <c:v>120000</c:v>
                </c:pt>
                <c:pt idx="1">
                  <c:v>800000</c:v>
                </c:pt>
                <c:pt idx="2">
                  <c:v>900000</c:v>
                </c:pt>
                <c:pt idx="3">
                  <c:v>480000</c:v>
                </c:pt>
                <c:pt idx="4">
                  <c:v>890000</c:v>
                </c:pt>
                <c:pt idx="5">
                  <c:v>870000</c:v>
                </c:pt>
                <c:pt idx="6">
                  <c:v>780000</c:v>
                </c:pt>
                <c:pt idx="7">
                  <c:v>900000</c:v>
                </c:pt>
                <c:pt idx="8">
                  <c:v>270000</c:v>
                </c:pt>
                <c:pt idx="9">
                  <c:v>360000</c:v>
                </c:pt>
                <c:pt idx="10">
                  <c:v>160000</c:v>
                </c:pt>
                <c:pt idx="11">
                  <c:v>580000</c:v>
                </c:pt>
                <c:pt idx="12">
                  <c:v>980000</c:v>
                </c:pt>
                <c:pt idx="13">
                  <c:v>810000</c:v>
                </c:pt>
                <c:pt idx="14">
                  <c:v>450000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85-43F3-B411-6E8AABFDA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55840"/>
        <c:axId val="48757376"/>
      </c:scatterChart>
      <c:valAx>
        <c:axId val="48755840"/>
        <c:scaling>
          <c:orientation val="minMax"/>
        </c:scaling>
        <c:delete val="0"/>
        <c:axPos val="b"/>
        <c:majorTickMark val="out"/>
        <c:minorTickMark val="none"/>
        <c:tickLblPos val="nextTo"/>
        <c:crossAx val="48757376"/>
        <c:crosses val="autoZero"/>
        <c:crossBetween val="midCat"/>
      </c:valAx>
      <c:valAx>
        <c:axId val="4875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solidFill>
            <a:schemeClr val="bg1">
              <a:lumMod val="95000"/>
            </a:schemeClr>
          </a:solidFill>
        </c:spPr>
        <c:crossAx val="48755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9951881014874"/>
          <c:y val="5.1400554097404488E-2"/>
          <c:w val="0.59630314960629871"/>
          <c:h val="0.79822506561679785"/>
        </c:manualLayout>
      </c:layout>
      <c:lineChart>
        <c:grouping val="standard"/>
        <c:varyColors val="0"/>
        <c:ser>
          <c:idx val="0"/>
          <c:order val="0"/>
          <c:tx>
            <c:strRef>
              <c:f>FINANCE!$A$1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FINANCE!$A$2:$A$16</c:f>
              <c:numCache>
                <c:formatCode>General</c:formatCode>
                <c:ptCount val="15"/>
                <c:pt idx="0">
                  <c:v>5000000</c:v>
                </c:pt>
                <c:pt idx="1">
                  <c:v>6000000</c:v>
                </c:pt>
                <c:pt idx="2">
                  <c:v>7000000</c:v>
                </c:pt>
                <c:pt idx="3">
                  <c:v>3000000</c:v>
                </c:pt>
                <c:pt idx="4">
                  <c:v>1000000</c:v>
                </c:pt>
                <c:pt idx="5">
                  <c:v>4000000</c:v>
                </c:pt>
                <c:pt idx="6">
                  <c:v>8000000</c:v>
                </c:pt>
                <c:pt idx="7">
                  <c:v>9000000</c:v>
                </c:pt>
                <c:pt idx="8">
                  <c:v>2000000</c:v>
                </c:pt>
                <c:pt idx="9">
                  <c:v>1100000</c:v>
                </c:pt>
                <c:pt idx="10">
                  <c:v>4500000</c:v>
                </c:pt>
                <c:pt idx="11">
                  <c:v>7600000</c:v>
                </c:pt>
                <c:pt idx="12">
                  <c:v>3400000</c:v>
                </c:pt>
                <c:pt idx="13">
                  <c:v>1200000</c:v>
                </c:pt>
                <c:pt idx="14">
                  <c:v>8700000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4-4BF4-BD6B-DBF043EC3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92160"/>
        <c:axId val="48898048"/>
      </c:lineChart>
      <c:catAx>
        <c:axId val="48892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8048"/>
        <c:crosses val="autoZero"/>
        <c:auto val="1"/>
        <c:lblAlgn val="ctr"/>
        <c:lblOffset val="100"/>
        <c:noMultiLvlLbl val="0"/>
      </c:catAx>
      <c:valAx>
        <c:axId val="488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461010</xdr:colOff>
      <xdr:row>16</xdr:row>
      <xdr:rowOff>150495</xdr:rowOff>
    </xdr:from>
    <xdr:to>
      <xdr:col>8</xdr:col>
      <xdr:colOff>241935</xdr:colOff>
      <xdr:row>31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17</xdr:row>
      <xdr:rowOff>0</xdr:rowOff>
    </xdr:from>
    <xdr:to>
      <xdr:col>9</xdr:col>
      <xdr:colOff>323850</xdr:colOff>
      <xdr:row>31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17</xdr:row>
      <xdr:rowOff>19050</xdr:rowOff>
    </xdr:from>
    <xdr:to>
      <xdr:col>6</xdr:col>
      <xdr:colOff>1466850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7.794248958337" createdVersion="3" refreshedVersion="3" minRefreshableVersion="3" recordCount="15" xr:uid="{00000000-000A-0000-FFFF-FFFF04000000}">
  <cacheSource type="worksheet">
    <worksheetSource ref="A1:E16" sheet="SALES"/>
  </cacheSource>
  <cacheFields count="5">
    <cacheField name="Date" numFmtId="0">
      <sharedItems/>
    </cacheField>
    <cacheField name="Product" numFmtId="0">
      <sharedItems count="4">
        <s v="Smartphone"/>
        <s v="Laptop"/>
        <s v="camera"/>
        <s v="television"/>
      </sharedItems>
    </cacheField>
    <cacheField name="Region" numFmtId="0">
      <sharedItems count="4">
        <s v="North"/>
        <s v="East"/>
        <s v="South"/>
        <s v="West"/>
      </sharedItems>
    </cacheField>
    <cacheField name="Sales Amount" numFmtId="0">
      <sharedItems containsSemiMixedTypes="0" containsString="0" containsNumber="1" containsInteger="1" minValue="1100000" maxValue="9800000"/>
    </cacheField>
    <cacheField name="Profit" numFmtId="0">
      <sharedItems containsSemiMixedTypes="0" containsString="0" containsNumber="1" containsInteger="1" minValue="220000" maxValue="19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7.796546296297" createdVersion="3" refreshedVersion="3" minRefreshableVersion="3" recordCount="15" xr:uid="{00000000-000A-0000-FFFF-FFFF05000000}">
  <cacheSource type="worksheet">
    <worksheetSource ref="A1:E16" sheet="HR"/>
  </cacheSource>
  <cacheFields count="5">
    <cacheField name="Employee" numFmtId="0">
      <sharedItems containsSemiMixedTypes="0" containsString="0" containsNumber="1" containsInteger="1" minValue="101" maxValue="115"/>
    </cacheField>
    <cacheField name="Department" numFmtId="0">
      <sharedItems count="5">
        <s v="Sales"/>
        <s v="Marketing"/>
        <s v="Finance"/>
        <s v="HR"/>
        <s v="IT"/>
      </sharedItems>
    </cacheField>
    <cacheField name="Salary" numFmtId="0">
      <sharedItems containsSemiMixedTypes="0" containsString="0" containsNumber="1" containsInteger="1" minValue="45000" maxValue="70000"/>
    </cacheField>
    <cacheField name="Experience" numFmtId="0">
      <sharedItems containsSemiMixedTypes="0" containsString="0" containsNumber="1" containsInteger="1" minValue="2" maxValue="6"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7.797532060184" createdVersion="3" refreshedVersion="3" minRefreshableVersion="3" recordCount="15" xr:uid="{00000000-000A-0000-FFFF-FFFF06000000}">
  <cacheSource type="worksheet">
    <worksheetSource ref="A1:D16" sheet="FINANCE"/>
  </cacheSource>
  <cacheFields count="4">
    <cacheField name="Revenue" numFmtId="0">
      <sharedItems containsSemiMixedTypes="0" containsString="0" containsNumber="1" containsInteger="1" minValue="1000000" maxValue="9000000"/>
    </cacheField>
    <cacheField name="Expenses" numFmtId="0">
      <sharedItems containsSemiMixedTypes="0" containsString="0" containsNumber="1" containsInteger="1" minValue="800000" maxValue="7200000" count="15">
        <n v="4000000"/>
        <n v="4800000"/>
        <n v="5600000"/>
        <n v="2400000"/>
        <n v="800000"/>
        <n v="3200000"/>
        <n v="6400000"/>
        <n v="7200000"/>
        <n v="1600000"/>
        <n v="880000"/>
        <n v="3600000"/>
        <n v="6080000"/>
        <n v="2720000"/>
        <n v="960000"/>
        <n v="6960000"/>
      </sharedItems>
    </cacheField>
    <cacheField name="Profit" numFmtId="0">
      <sharedItems containsSemiMixedTypes="0" containsString="0" containsNumber="1" containsInteger="1" minValue="200000" maxValue="1800000"/>
    </cacheField>
    <cacheField name="Budget vs Actual" numFmtId="0">
      <sharedItems containsSemiMixedTypes="0" containsString="0" containsNumber="1" minValue="0.72" maxValue="2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7.798671064818" createdVersion="3" refreshedVersion="3" minRefreshableVersion="3" recordCount="15" xr:uid="{00000000-000A-0000-FFFF-FFFF07000000}">
  <cacheSource type="worksheet">
    <worksheetSource ref="A1:E16" sheet="INSURANCE"/>
  </cacheSource>
  <cacheFields count="5">
    <cacheField name="Policy" numFmtId="0">
      <sharedItems count="15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</sharedItems>
    </cacheField>
    <cacheField name="Customer" numFmtId="0">
      <sharedItems containsSemiMixedTypes="0" containsString="0" containsNumber="1" containsInteger="1" minValue="18" maxValue="73"/>
    </cacheField>
    <cacheField name="Premium" numFmtId="0">
      <sharedItems containsSemiMixedTypes="0" containsString="0" containsNumber="1" containsInteger="1" minValue="15000" maxValue="62500"/>
    </cacheField>
    <cacheField name="Claim" numFmtId="0">
      <sharedItems containsSemiMixedTypes="0" containsString="0" containsNumber="1" containsInteger="1" minValue="0" maxValue="15000"/>
    </cacheField>
    <cacheField name="Policy Type" numFmtId="0">
      <sharedItems count="4">
        <s v="Health"/>
        <s v="Life"/>
        <s v="Vehicle"/>
        <s v="H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01.10.2025"/>
    <x v="0"/>
    <x v="0"/>
    <n v="1200000"/>
    <n v="240000"/>
  </r>
  <r>
    <s v="09.10.2025"/>
    <x v="1"/>
    <x v="1"/>
    <n v="3400000"/>
    <n v="680000"/>
  </r>
  <r>
    <s v="11.10.2025"/>
    <x v="0"/>
    <x v="2"/>
    <n v="2100000"/>
    <n v="420000"/>
  </r>
  <r>
    <s v="21.10.2025"/>
    <x v="2"/>
    <x v="0"/>
    <n v="4500000"/>
    <n v="900000"/>
  </r>
  <r>
    <s v="25.10.2025"/>
    <x v="3"/>
    <x v="3"/>
    <n v="3700000"/>
    <n v="740000"/>
  </r>
  <r>
    <s v="02.11.2025"/>
    <x v="2"/>
    <x v="1"/>
    <n v="5400000"/>
    <n v="1080000"/>
  </r>
  <r>
    <s v="10.11.2025"/>
    <x v="3"/>
    <x v="2"/>
    <n v="7600000"/>
    <n v="1520000"/>
  </r>
  <r>
    <s v="15.11.2025"/>
    <x v="2"/>
    <x v="3"/>
    <n v="6500000"/>
    <n v="1300000"/>
  </r>
  <r>
    <s v="21.11.2025"/>
    <x v="0"/>
    <x v="1"/>
    <n v="8700000"/>
    <n v="1740000"/>
  </r>
  <r>
    <s v="29.11.2025"/>
    <x v="1"/>
    <x v="0"/>
    <n v="5700000"/>
    <n v="1140000"/>
  </r>
  <r>
    <s v="05.12.2025"/>
    <x v="3"/>
    <x v="2"/>
    <n v="1100000"/>
    <n v="220000"/>
  </r>
  <r>
    <s v="08.12.2025"/>
    <x v="0"/>
    <x v="3"/>
    <n v="6300000"/>
    <n v="1260000"/>
  </r>
  <r>
    <s v="15.12.2025"/>
    <x v="3"/>
    <x v="1"/>
    <n v="2700000"/>
    <n v="540000"/>
  </r>
  <r>
    <s v="19.12.2025"/>
    <x v="2"/>
    <x v="2"/>
    <n v="3900000"/>
    <n v="780000"/>
  </r>
  <r>
    <s v="31.12.2025"/>
    <x v="3"/>
    <x v="0"/>
    <n v="9800000"/>
    <n v="196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">
  <r>
    <n v="101"/>
    <x v="0"/>
    <n v="45000"/>
    <n v="3"/>
    <x v="0"/>
  </r>
  <r>
    <n v="102"/>
    <x v="1"/>
    <n v="52000"/>
    <n v="5"/>
    <x v="1"/>
  </r>
  <r>
    <n v="103"/>
    <x v="2"/>
    <n v="60000"/>
    <n v="4"/>
    <x v="0"/>
  </r>
  <r>
    <n v="104"/>
    <x v="3"/>
    <n v="48000"/>
    <n v="6"/>
    <x v="0"/>
  </r>
  <r>
    <n v="105"/>
    <x v="4"/>
    <n v="70000"/>
    <n v="2"/>
    <x v="1"/>
  </r>
  <r>
    <n v="106"/>
    <x v="0"/>
    <n v="45000"/>
    <n v="3"/>
    <x v="0"/>
  </r>
  <r>
    <n v="107"/>
    <x v="1"/>
    <n v="52000"/>
    <n v="5"/>
    <x v="1"/>
  </r>
  <r>
    <n v="108"/>
    <x v="2"/>
    <n v="60000"/>
    <n v="4"/>
    <x v="0"/>
  </r>
  <r>
    <n v="109"/>
    <x v="3"/>
    <n v="48000"/>
    <n v="6"/>
    <x v="0"/>
  </r>
  <r>
    <n v="110"/>
    <x v="4"/>
    <n v="70000"/>
    <n v="2"/>
    <x v="1"/>
  </r>
  <r>
    <n v="111"/>
    <x v="0"/>
    <n v="45000"/>
    <n v="3"/>
    <x v="0"/>
  </r>
  <r>
    <n v="112"/>
    <x v="1"/>
    <n v="52000"/>
    <n v="5"/>
    <x v="1"/>
  </r>
  <r>
    <n v="113"/>
    <x v="2"/>
    <n v="60000"/>
    <n v="4"/>
    <x v="0"/>
  </r>
  <r>
    <n v="114"/>
    <x v="3"/>
    <n v="48000"/>
    <n v="6"/>
    <x v="0"/>
  </r>
  <r>
    <n v="115"/>
    <x v="4"/>
    <n v="70000"/>
    <n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">
  <r>
    <n v="5000000"/>
    <x v="0"/>
    <n v="1000000"/>
    <n v="0.95"/>
  </r>
  <r>
    <n v="6000000"/>
    <x v="1"/>
    <n v="1200000"/>
    <n v="0.75"/>
  </r>
  <r>
    <n v="7000000"/>
    <x v="2"/>
    <n v="1400000"/>
    <n v="1.18"/>
  </r>
  <r>
    <n v="3000000"/>
    <x v="3"/>
    <n v="600000"/>
    <n v="0.8"/>
  </r>
  <r>
    <n v="1000000"/>
    <x v="4"/>
    <n v="200000"/>
    <n v="0.9"/>
  </r>
  <r>
    <n v="4000000"/>
    <x v="5"/>
    <n v="800000"/>
    <n v="1.1000000000000001"/>
  </r>
  <r>
    <n v="8000000"/>
    <x v="6"/>
    <n v="1600000"/>
    <n v="0.72"/>
  </r>
  <r>
    <n v="9000000"/>
    <x v="7"/>
    <n v="1800000"/>
    <n v="1.2"/>
  </r>
  <r>
    <n v="2000000"/>
    <x v="8"/>
    <n v="400000"/>
    <n v="1.22"/>
  </r>
  <r>
    <n v="1100000"/>
    <x v="9"/>
    <n v="220000"/>
    <n v="0.79"/>
  </r>
  <r>
    <n v="4500000"/>
    <x v="10"/>
    <n v="900000"/>
    <n v="0.99"/>
  </r>
  <r>
    <n v="7600000"/>
    <x v="11"/>
    <n v="1520000"/>
    <n v="2.1"/>
  </r>
  <r>
    <n v="3400000"/>
    <x v="12"/>
    <n v="680000"/>
    <n v="1.21"/>
  </r>
  <r>
    <n v="1200000"/>
    <x v="13"/>
    <n v="240000"/>
    <n v="0.89"/>
  </r>
  <r>
    <n v="8700000"/>
    <x v="14"/>
    <n v="1740000"/>
    <n v="0.7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">
  <r>
    <x v="0"/>
    <n v="23"/>
    <n v="15000"/>
    <n v="0"/>
    <x v="0"/>
  </r>
  <r>
    <x v="1"/>
    <n v="45"/>
    <n v="20000"/>
    <n v="0"/>
    <x v="1"/>
  </r>
  <r>
    <x v="2"/>
    <n v="34"/>
    <n v="34000"/>
    <n v="7000"/>
    <x v="2"/>
  </r>
  <r>
    <x v="3"/>
    <n v="18"/>
    <n v="21000"/>
    <n v="0"/>
    <x v="3"/>
  </r>
  <r>
    <x v="4"/>
    <n v="26"/>
    <n v="30500"/>
    <n v="4600"/>
    <x v="0"/>
  </r>
  <r>
    <x v="5"/>
    <n v="65"/>
    <n v="33700"/>
    <n v="500"/>
    <x v="1"/>
  </r>
  <r>
    <x v="6"/>
    <n v="73"/>
    <n v="36900"/>
    <n v="0"/>
    <x v="2"/>
  </r>
  <r>
    <x v="7"/>
    <n v="55"/>
    <n v="40100"/>
    <n v="2100"/>
    <x v="3"/>
  </r>
  <r>
    <x v="8"/>
    <n v="48"/>
    <n v="43300"/>
    <n v="0"/>
    <x v="0"/>
  </r>
  <r>
    <x v="9"/>
    <n v="35"/>
    <n v="46500"/>
    <n v="0"/>
    <x v="1"/>
  </r>
  <r>
    <x v="10"/>
    <n v="38"/>
    <n v="49700"/>
    <n v="0"/>
    <x v="2"/>
  </r>
  <r>
    <x v="11"/>
    <n v="21"/>
    <n v="52900"/>
    <n v="900"/>
    <x v="3"/>
  </r>
  <r>
    <x v="12"/>
    <n v="19"/>
    <n v="56100"/>
    <n v="0"/>
    <x v="0"/>
  </r>
  <r>
    <x v="13"/>
    <n v="20"/>
    <n v="59300"/>
    <n v="15000"/>
    <x v="1"/>
  </r>
  <r>
    <x v="14"/>
    <n v="52"/>
    <n v="62500"/>
    <n v="37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:H6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5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1:F2" firstHeaderRow="1" firstDataRow="1" firstDataCol="0"/>
  <pivotFields count="4">
    <pivotField showAll="0"/>
    <pivotField dataField="1" showAll="0">
      <items count="16">
        <item x="4"/>
        <item x="9"/>
        <item x="13"/>
        <item x="8"/>
        <item x="3"/>
        <item x="12"/>
        <item x="5"/>
        <item x="10"/>
        <item x="0"/>
        <item x="1"/>
        <item x="2"/>
        <item x="11"/>
        <item x="6"/>
        <item x="14"/>
        <item x="7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Sum of Expenses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G1:G12" firstHeaderRow="1" firstDataRow="1" firstDataCol="1"/>
  <pivotFields count="5">
    <pivotField showAll="0"/>
    <pivotField axis="axisRow" showAll="0" sortType="ascending">
      <items count="6">
        <item x="2"/>
        <item x="3"/>
        <item x="4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1"/>
    <field x="4"/>
  </rowFields>
  <rowItems count="11">
    <i>
      <x/>
    </i>
    <i r="1">
      <x v="1"/>
    </i>
    <i>
      <x v="1"/>
    </i>
    <i r="1">
      <x v="1"/>
    </i>
    <i>
      <x v="2"/>
    </i>
    <i r="1">
      <x/>
    </i>
    <i>
      <x v="3"/>
    </i>
    <i r="1">
      <x/>
    </i>
    <i>
      <x v="4"/>
    </i>
    <i r="1">
      <x v="1"/>
    </i>
    <i t="grand">
      <x/>
    </i>
  </rowItems>
  <colItems count="1">
    <i/>
  </colItems>
  <formats count="18">
    <format dxfId="26">
      <pivotArea type="all" dataOnly="0" outline="0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1" count="1" selected="0">
            <x v="0"/>
          </reference>
          <reference field="4" count="1">
            <x v="1"/>
          </reference>
        </references>
      </pivotArea>
    </format>
    <format dxfId="21">
      <pivotArea dataOnly="0" labelOnly="1" fieldPosition="0">
        <references count="2">
          <reference field="1" count="1" selected="0">
            <x v="1"/>
          </reference>
          <reference field="4" count="1">
            <x v="1"/>
          </reference>
        </references>
      </pivotArea>
    </format>
    <format dxfId="20">
      <pivotArea dataOnly="0" labelOnly="1" fieldPosition="0">
        <references count="2">
          <reference field="1" count="1" selected="0">
            <x v="2"/>
          </reference>
          <reference field="4" count="1">
            <x v="0"/>
          </reference>
        </references>
      </pivotArea>
    </format>
    <format dxfId="19">
      <pivotArea dataOnly="0" labelOnly="1" fieldPosition="0">
        <references count="2">
          <reference field="1" count="1" selected="0">
            <x v="3"/>
          </reference>
          <reference field="4" count="1">
            <x v="0"/>
          </reference>
        </references>
      </pivotArea>
    </format>
    <format dxfId="18">
      <pivotArea dataOnly="0" labelOnly="1" fieldPosition="0">
        <references count="2">
          <reference field="1" count="1" selected="0">
            <x v="4"/>
          </reference>
          <reference field="4" count="1">
            <x v="1"/>
          </reference>
        </references>
      </pivotArea>
    </format>
    <format dxfId="17">
      <pivotArea type="all" dataOnly="0" outline="0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" count="1" selected="0">
            <x v="0"/>
          </reference>
          <reference field="4" count="1">
            <x v="1"/>
          </reference>
        </references>
      </pivotArea>
    </format>
    <format dxfId="3">
      <pivotArea dataOnly="0" labelOnly="1" fieldPosition="0">
        <references count="2">
          <reference field="1" count="1" selected="0">
            <x v="1"/>
          </reference>
          <reference field="4" count="1">
            <x v="1"/>
          </reference>
        </references>
      </pivotArea>
    </format>
    <format dxfId="2">
      <pivotArea dataOnly="0" labelOnly="1" fieldPosition="0">
        <references count="2">
          <reference field="1" count="1" selected="0">
            <x v="2"/>
          </reference>
          <reference field="4" count="1">
            <x v="0"/>
          </reference>
        </references>
      </pivotArea>
    </format>
    <format dxfId="1">
      <pivotArea dataOnly="0" labelOnly="1" fieldPosition="0">
        <references count="2">
          <reference field="1" count="1" selected="0">
            <x v="3"/>
          </reference>
          <reference field="4" count="1">
            <x v="0"/>
          </reference>
        </references>
      </pivotArea>
    </format>
    <format dxfId="0">
      <pivotArea dataOnly="0" labelOnly="1" fieldPosition="0">
        <references count="2">
          <reference field="1" count="1" selected="0">
            <x v="4"/>
          </reference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6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:H6" firstHeaderRow="1" firstDataRow="1" firstDataCol="1"/>
  <pivotFields count="5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mium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>
      <selection activeCell="H14" sqref="H14"/>
    </sheetView>
  </sheetViews>
  <sheetFormatPr defaultRowHeight="14.4" x14ac:dyDescent="0.3"/>
  <cols>
    <col min="1" max="1" width="16.44140625" customWidth="1"/>
    <col min="2" max="2" width="21.6640625" customWidth="1"/>
    <col min="3" max="3" width="18.33203125" customWidth="1"/>
    <col min="4" max="4" width="19.33203125" customWidth="1"/>
    <col min="5" max="5" width="17.6640625" customWidth="1"/>
    <col min="7" max="7" width="13.109375" bestFit="1" customWidth="1"/>
    <col min="8" max="8" width="12.5546875" bestFit="1" customWidth="1"/>
  </cols>
  <sheetData>
    <row r="1" spans="1:8" ht="1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G1" s="15" t="s">
        <v>80</v>
      </c>
      <c r="H1" s="15" t="s">
        <v>82</v>
      </c>
    </row>
    <row r="2" spans="1:8" x14ac:dyDescent="0.3">
      <c r="A2" s="1" t="s">
        <v>89</v>
      </c>
      <c r="B2" s="1" t="s">
        <v>123</v>
      </c>
      <c r="C2" s="1" t="s">
        <v>104</v>
      </c>
      <c r="D2" s="1">
        <v>1200000</v>
      </c>
      <c r="E2" s="1">
        <v>240000</v>
      </c>
      <c r="G2" s="16" t="s">
        <v>6</v>
      </c>
      <c r="H2" s="15">
        <v>4040000</v>
      </c>
    </row>
    <row r="3" spans="1:8" x14ac:dyDescent="0.3">
      <c r="A3" s="1" t="s">
        <v>90</v>
      </c>
      <c r="B3" s="1" t="s">
        <v>124</v>
      </c>
      <c r="C3" s="1" t="s">
        <v>105</v>
      </c>
      <c r="D3" s="1">
        <v>3400000</v>
      </c>
      <c r="E3" s="1">
        <v>680000</v>
      </c>
      <c r="G3" s="16" t="s">
        <v>5</v>
      </c>
      <c r="H3" s="15">
        <v>4240000</v>
      </c>
    </row>
    <row r="4" spans="1:8" x14ac:dyDescent="0.3">
      <c r="A4" s="1" t="s">
        <v>91</v>
      </c>
      <c r="B4" s="1" t="s">
        <v>125</v>
      </c>
      <c r="C4" s="1" t="s">
        <v>106</v>
      </c>
      <c r="D4" s="1">
        <v>2100000</v>
      </c>
      <c r="E4" s="1">
        <v>420000</v>
      </c>
      <c r="G4" s="16" t="s">
        <v>7</v>
      </c>
      <c r="H4" s="15">
        <v>2940000</v>
      </c>
    </row>
    <row r="5" spans="1:8" x14ac:dyDescent="0.3">
      <c r="A5" s="1" t="s">
        <v>92</v>
      </c>
      <c r="B5" s="1" t="s">
        <v>126</v>
      </c>
      <c r="C5" s="1" t="s">
        <v>104</v>
      </c>
      <c r="D5" s="1">
        <v>4500000</v>
      </c>
      <c r="E5" s="1">
        <v>900000</v>
      </c>
      <c r="G5" s="16" t="s">
        <v>8</v>
      </c>
      <c r="H5" s="15">
        <v>3300000</v>
      </c>
    </row>
    <row r="6" spans="1:8" x14ac:dyDescent="0.3">
      <c r="A6" s="1" t="s">
        <v>93</v>
      </c>
      <c r="B6" s="1" t="s">
        <v>127</v>
      </c>
      <c r="C6" s="1" t="s">
        <v>107</v>
      </c>
      <c r="D6" s="1">
        <v>3700000</v>
      </c>
      <c r="E6" s="1">
        <v>740000</v>
      </c>
      <c r="G6" s="16" t="s">
        <v>81</v>
      </c>
      <c r="H6" s="15">
        <v>14520000</v>
      </c>
    </row>
    <row r="7" spans="1:8" x14ac:dyDescent="0.3">
      <c r="A7" s="1" t="s">
        <v>94</v>
      </c>
      <c r="B7" s="1" t="s">
        <v>125</v>
      </c>
      <c r="C7" s="1" t="s">
        <v>106</v>
      </c>
      <c r="D7" s="1">
        <v>5400000</v>
      </c>
      <c r="E7" s="1">
        <v>1080000</v>
      </c>
    </row>
    <row r="8" spans="1:8" x14ac:dyDescent="0.3">
      <c r="A8" s="1" t="s">
        <v>95</v>
      </c>
      <c r="B8" s="1" t="s">
        <v>126</v>
      </c>
      <c r="C8" s="1" t="s">
        <v>105</v>
      </c>
      <c r="D8" s="1">
        <v>7600000</v>
      </c>
      <c r="E8" s="1">
        <v>1520000</v>
      </c>
    </row>
    <row r="9" spans="1:8" x14ac:dyDescent="0.3">
      <c r="A9" s="1" t="s">
        <v>96</v>
      </c>
      <c r="B9" s="1" t="s">
        <v>124</v>
      </c>
      <c r="C9" s="1" t="s">
        <v>107</v>
      </c>
      <c r="D9" s="1">
        <v>6500000</v>
      </c>
      <c r="E9" s="1">
        <v>1300000</v>
      </c>
    </row>
    <row r="10" spans="1:8" x14ac:dyDescent="0.3">
      <c r="A10" s="1" t="s">
        <v>97</v>
      </c>
      <c r="B10" s="1" t="s">
        <v>127</v>
      </c>
      <c r="C10" s="1" t="s">
        <v>107</v>
      </c>
      <c r="D10" s="1">
        <v>8700000</v>
      </c>
      <c r="E10" s="1">
        <v>1740000</v>
      </c>
    </row>
    <row r="11" spans="1:8" x14ac:dyDescent="0.3">
      <c r="A11" s="1" t="s">
        <v>98</v>
      </c>
      <c r="B11" s="1" t="s">
        <v>123</v>
      </c>
      <c r="C11" s="1" t="s">
        <v>106</v>
      </c>
      <c r="D11" s="1">
        <v>5700000</v>
      </c>
      <c r="E11" s="1">
        <v>1140000</v>
      </c>
    </row>
    <row r="12" spans="1:8" x14ac:dyDescent="0.3">
      <c r="A12" s="1" t="s">
        <v>99</v>
      </c>
      <c r="B12" s="1" t="s">
        <v>126</v>
      </c>
      <c r="C12" s="1" t="s">
        <v>104</v>
      </c>
      <c r="D12" s="1">
        <v>1100000</v>
      </c>
      <c r="E12" s="1">
        <v>220000</v>
      </c>
    </row>
    <row r="13" spans="1:8" x14ac:dyDescent="0.3">
      <c r="A13" s="1" t="s">
        <v>100</v>
      </c>
      <c r="B13" s="1" t="s">
        <v>123</v>
      </c>
      <c r="C13" s="1" t="s">
        <v>107</v>
      </c>
      <c r="D13" s="1">
        <v>6300000</v>
      </c>
      <c r="E13" s="1">
        <v>1260000</v>
      </c>
    </row>
    <row r="14" spans="1:8" x14ac:dyDescent="0.3">
      <c r="A14" s="1" t="s">
        <v>101</v>
      </c>
      <c r="B14" s="1" t="s">
        <v>124</v>
      </c>
      <c r="C14" s="1" t="s">
        <v>104</v>
      </c>
      <c r="D14" s="1">
        <v>2700000</v>
      </c>
      <c r="E14" s="1">
        <v>540000</v>
      </c>
    </row>
    <row r="15" spans="1:8" x14ac:dyDescent="0.3">
      <c r="A15" s="1" t="s">
        <v>102</v>
      </c>
      <c r="B15" s="1" t="s">
        <v>125</v>
      </c>
      <c r="C15" s="1" t="s">
        <v>105</v>
      </c>
      <c r="D15" s="1">
        <v>3900000</v>
      </c>
      <c r="E15" s="1">
        <v>780000</v>
      </c>
    </row>
    <row r="16" spans="1:8" x14ac:dyDescent="0.3">
      <c r="A16" s="1" t="s">
        <v>103</v>
      </c>
      <c r="B16" s="1" t="s">
        <v>127</v>
      </c>
      <c r="C16" s="1" t="s">
        <v>106</v>
      </c>
      <c r="D16" s="1">
        <v>9800000</v>
      </c>
      <c r="E16" s="1">
        <v>1960000</v>
      </c>
    </row>
    <row r="18" spans="1:3" ht="15.6" x14ac:dyDescent="0.3">
      <c r="A18" s="13" t="s">
        <v>48</v>
      </c>
      <c r="B18" s="13"/>
      <c r="C18" s="13"/>
    </row>
    <row r="19" spans="1:3" x14ac:dyDescent="0.3">
      <c r="A19" s="14" t="s">
        <v>49</v>
      </c>
      <c r="B19" s="14"/>
      <c r="C19" s="3">
        <f>SUM(D2:D16)</f>
        <v>72600000</v>
      </c>
    </row>
    <row r="20" spans="1:3" x14ac:dyDescent="0.3">
      <c r="A20" s="14" t="s">
        <v>50</v>
      </c>
      <c r="B20" s="14"/>
      <c r="C20" s="3">
        <f>AVERAGE(D2:D16)</f>
        <v>4840000</v>
      </c>
    </row>
    <row r="21" spans="1:3" x14ac:dyDescent="0.3">
      <c r="A21" s="14" t="s">
        <v>51</v>
      </c>
      <c r="B21" s="14"/>
      <c r="C21" s="3">
        <f>MIN(D2:D16)</f>
        <v>1100000</v>
      </c>
    </row>
    <row r="22" spans="1:3" x14ac:dyDescent="0.3">
      <c r="A22" s="14" t="s">
        <v>52</v>
      </c>
      <c r="B22" s="14"/>
      <c r="C22" s="3">
        <f>MAX(D2:D16)</f>
        <v>9800000</v>
      </c>
    </row>
    <row r="23" spans="1:3" x14ac:dyDescent="0.3">
      <c r="A23" s="14" t="s">
        <v>53</v>
      </c>
      <c r="B23" s="14"/>
      <c r="C23" s="3">
        <f>COUNT(D2:D16)</f>
        <v>15</v>
      </c>
    </row>
    <row r="25" spans="1:3" ht="15.6" x14ac:dyDescent="0.3">
      <c r="A25" s="13" t="s">
        <v>54</v>
      </c>
      <c r="B25" s="13"/>
      <c r="C25" s="13"/>
    </row>
    <row r="26" spans="1:3" x14ac:dyDescent="0.3">
      <c r="A26" s="14" t="s">
        <v>55</v>
      </c>
      <c r="B26" s="14"/>
      <c r="C26" s="3" t="str">
        <f>IF(D2&gt;100000,"SATISFYING","NOT SATISFYING")</f>
        <v>SATISFYING</v>
      </c>
    </row>
    <row r="27" spans="1:3" x14ac:dyDescent="0.3">
      <c r="A27" s="14" t="s">
        <v>56</v>
      </c>
      <c r="B27" s="14"/>
      <c r="C27" s="3" t="b">
        <f>AND(D2&gt;1000000,B2="Smartphone")</f>
        <v>0</v>
      </c>
    </row>
    <row r="28" spans="1:3" x14ac:dyDescent="0.3">
      <c r="A28" s="14" t="s">
        <v>57</v>
      </c>
      <c r="B28" s="14"/>
      <c r="C28" s="3" t="b">
        <f>OR(D4&lt;200000,B4="camera")</f>
        <v>0</v>
      </c>
    </row>
    <row r="30" spans="1:3" ht="15.6" x14ac:dyDescent="0.3">
      <c r="A30" s="10" t="s">
        <v>58</v>
      </c>
      <c r="B30" s="11"/>
      <c r="C30" s="12"/>
    </row>
    <row r="31" spans="1:3" x14ac:dyDescent="0.3">
      <c r="A31" s="14" t="s">
        <v>59</v>
      </c>
      <c r="B31" s="14"/>
      <c r="C31" s="3" t="str">
        <f>LEFT(B10,3)</f>
        <v>Kur</v>
      </c>
    </row>
    <row r="32" spans="1:3" x14ac:dyDescent="0.3">
      <c r="A32" s="14" t="s">
        <v>60</v>
      </c>
      <c r="B32" s="14"/>
      <c r="C32" s="3" t="str">
        <f>RIGHT(B10,3)</f>
        <v>ies</v>
      </c>
    </row>
    <row r="33" spans="1:3" x14ac:dyDescent="0.3">
      <c r="A33" s="14" t="s">
        <v>61</v>
      </c>
      <c r="B33" s="14"/>
      <c r="C33" s="3" t="str">
        <f>MID(B10,3,3)</f>
        <v>rti</v>
      </c>
    </row>
    <row r="34" spans="1:3" x14ac:dyDescent="0.3">
      <c r="A34" s="14" t="s">
        <v>62</v>
      </c>
      <c r="B34" s="14"/>
      <c r="C34" s="3" t="str">
        <f>CONCATENATE(B10," ",C10)</f>
        <v>Kurties Akola</v>
      </c>
    </row>
    <row r="36" spans="1:3" ht="15.6" x14ac:dyDescent="0.3">
      <c r="A36" s="13" t="s">
        <v>63</v>
      </c>
      <c r="B36" s="13"/>
      <c r="C36" s="13"/>
    </row>
    <row r="37" spans="1:3" x14ac:dyDescent="0.3">
      <c r="A37" s="14" t="s">
        <v>64</v>
      </c>
      <c r="B37" s="14"/>
      <c r="C37" s="5">
        <f ca="1">TODAY()</f>
        <v>46077</v>
      </c>
    </row>
    <row r="38" spans="1:3" x14ac:dyDescent="0.3">
      <c r="A38" s="14" t="s">
        <v>65</v>
      </c>
      <c r="B38" s="14"/>
      <c r="C38" s="6">
        <f ca="1">NOW()</f>
        <v>46077.759611921298</v>
      </c>
    </row>
    <row r="39" spans="1:3" x14ac:dyDescent="0.3">
      <c r="A39" s="14" t="s">
        <v>66</v>
      </c>
      <c r="B39" s="14"/>
      <c r="C39" s="3"/>
    </row>
    <row r="41" spans="1:3" ht="15.6" x14ac:dyDescent="0.3">
      <c r="A41" s="10" t="s">
        <v>67</v>
      </c>
      <c r="B41" s="11"/>
      <c r="C41" s="12"/>
    </row>
    <row r="42" spans="1:3" x14ac:dyDescent="0.3">
      <c r="A42" s="14" t="s">
        <v>68</v>
      </c>
      <c r="B42" s="14"/>
      <c r="C42" s="7">
        <f>PMT(5%/12, 60, C19)</f>
        <v>-1370051.5625551939</v>
      </c>
    </row>
    <row r="43" spans="1:3" x14ac:dyDescent="0.3">
      <c r="A43" s="14" t="s">
        <v>69</v>
      </c>
      <c r="B43" s="14"/>
      <c r="C43" s="7">
        <f>NPV(5%,E2:E16)</f>
        <v>9569289.5353095476</v>
      </c>
    </row>
    <row r="45" spans="1:3" ht="15.6" x14ac:dyDescent="0.3">
      <c r="A45" s="13" t="s">
        <v>70</v>
      </c>
      <c r="B45" s="13"/>
      <c r="C45" s="13"/>
    </row>
    <row r="46" spans="1:3" x14ac:dyDescent="0.3">
      <c r="A46" s="14" t="s">
        <v>71</v>
      </c>
      <c r="B46" s="14"/>
      <c r="C46" s="3">
        <f>VLOOKUP(A4, A2:E4, 4,FALSE)</f>
        <v>2100000</v>
      </c>
    </row>
    <row r="47" spans="1:3" x14ac:dyDescent="0.3">
      <c r="A47" s="14" t="s">
        <v>72</v>
      </c>
      <c r="B47" s="14"/>
      <c r="C47" s="3" t="e">
        <f>HLOOKUP(B4,A2:E16,4,FALSE)</f>
        <v>#N/A</v>
      </c>
    </row>
    <row r="48" spans="1:3" x14ac:dyDescent="0.3">
      <c r="A48" s="14" t="s">
        <v>73</v>
      </c>
      <c r="B48" s="14"/>
      <c r="C48" s="3"/>
    </row>
    <row r="50" spans="1:3" ht="15.6" x14ac:dyDescent="0.3">
      <c r="A50" s="13" t="s">
        <v>74</v>
      </c>
      <c r="B50" s="13"/>
      <c r="C50" s="13"/>
    </row>
    <row r="51" spans="1:3" x14ac:dyDescent="0.3">
      <c r="A51" s="14" t="s">
        <v>75</v>
      </c>
      <c r="B51" s="14"/>
      <c r="C51" s="3">
        <f>AVERAGE(E2:E16)</f>
        <v>968000</v>
      </c>
    </row>
    <row r="52" spans="1:3" x14ac:dyDescent="0.3">
      <c r="A52" s="14" t="s">
        <v>76</v>
      </c>
      <c r="B52" s="14"/>
      <c r="C52" s="3">
        <f>MEDIAN(D2:D16)</f>
        <v>4500000</v>
      </c>
    </row>
    <row r="53" spans="1:3" x14ac:dyDescent="0.3">
      <c r="A53" s="14" t="s">
        <v>77</v>
      </c>
      <c r="B53" s="14"/>
      <c r="C53" s="3"/>
    </row>
    <row r="54" spans="1:3" x14ac:dyDescent="0.3">
      <c r="A54" s="14" t="s">
        <v>78</v>
      </c>
      <c r="B54" s="14"/>
      <c r="C54" s="3">
        <f>STDEV(E2:E16)</f>
        <v>525781.05166096881</v>
      </c>
    </row>
    <row r="55" spans="1:3" x14ac:dyDescent="0.3">
      <c r="A55" s="14" t="s">
        <v>79</v>
      </c>
      <c r="B55" s="14"/>
      <c r="C55" s="3">
        <f>CORREL(D2:D16,E2:E16)</f>
        <v>1</v>
      </c>
    </row>
  </sheetData>
  <mergeCells count="32">
    <mergeCell ref="A52:B52"/>
    <mergeCell ref="A53:B53"/>
    <mergeCell ref="A54:B54"/>
    <mergeCell ref="A55:B55"/>
    <mergeCell ref="A45:C45"/>
    <mergeCell ref="A46:B46"/>
    <mergeCell ref="A47:B47"/>
    <mergeCell ref="A48:B48"/>
    <mergeCell ref="A50:C50"/>
    <mergeCell ref="A51:B51"/>
    <mergeCell ref="A43:B43"/>
    <mergeCell ref="A31:B31"/>
    <mergeCell ref="A32:B32"/>
    <mergeCell ref="A33:B33"/>
    <mergeCell ref="A34:B34"/>
    <mergeCell ref="A36:C36"/>
    <mergeCell ref="A37:B37"/>
    <mergeCell ref="A38:B38"/>
    <mergeCell ref="A39:B39"/>
    <mergeCell ref="A41:C41"/>
    <mergeCell ref="A42:B42"/>
    <mergeCell ref="A30:C30"/>
    <mergeCell ref="A18:C18"/>
    <mergeCell ref="A19:B19"/>
    <mergeCell ref="A20:B20"/>
    <mergeCell ref="A21:B21"/>
    <mergeCell ref="A22:B22"/>
    <mergeCell ref="A23:B23"/>
    <mergeCell ref="A25:C25"/>
    <mergeCell ref="A26:B26"/>
    <mergeCell ref="A27:B27"/>
    <mergeCell ref="A28:B28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topLeftCell="A36" workbookViewId="0">
      <selection activeCell="D36" sqref="D36"/>
    </sheetView>
  </sheetViews>
  <sheetFormatPr defaultRowHeight="14.4" x14ac:dyDescent="0.3"/>
  <cols>
    <col min="1" max="1" width="19.109375" customWidth="1"/>
    <col min="2" max="2" width="23.6640625" customWidth="1"/>
    <col min="3" max="3" width="17.33203125" customWidth="1"/>
    <col min="4" max="4" width="24" customWidth="1"/>
  </cols>
  <sheetData>
    <row r="1" spans="1:4" ht="18" x14ac:dyDescent="0.3">
      <c r="A1" s="9" t="s">
        <v>9</v>
      </c>
      <c r="B1" s="9" t="s">
        <v>10</v>
      </c>
      <c r="C1" s="9" t="s">
        <v>11</v>
      </c>
      <c r="D1" s="9" t="s">
        <v>12</v>
      </c>
    </row>
    <row r="2" spans="1:4" x14ac:dyDescent="0.3">
      <c r="A2" s="1" t="s">
        <v>108</v>
      </c>
      <c r="B2" s="1">
        <v>650</v>
      </c>
      <c r="C2" s="1">
        <v>120000</v>
      </c>
      <c r="D2" s="1">
        <v>0.15</v>
      </c>
    </row>
    <row r="3" spans="1:4" x14ac:dyDescent="0.3">
      <c r="A3" s="1" t="s">
        <v>109</v>
      </c>
      <c r="B3" s="1">
        <v>120</v>
      </c>
      <c r="C3" s="1">
        <v>800000</v>
      </c>
      <c r="D3" s="1">
        <v>0.13</v>
      </c>
    </row>
    <row r="4" spans="1:4" x14ac:dyDescent="0.3">
      <c r="A4" s="1" t="s">
        <v>110</v>
      </c>
      <c r="B4" s="1">
        <v>450</v>
      </c>
      <c r="C4" s="1">
        <v>900000</v>
      </c>
      <c r="D4" s="1">
        <v>0.9</v>
      </c>
    </row>
    <row r="5" spans="1:4" x14ac:dyDescent="0.3">
      <c r="A5" s="1" t="s">
        <v>111</v>
      </c>
      <c r="B5" s="1">
        <v>320</v>
      </c>
      <c r="C5" s="1">
        <v>480000</v>
      </c>
      <c r="D5" s="1">
        <v>0.3</v>
      </c>
    </row>
    <row r="6" spans="1:4" x14ac:dyDescent="0.3">
      <c r="A6" s="1" t="s">
        <v>112</v>
      </c>
      <c r="B6" s="1">
        <v>820</v>
      </c>
      <c r="C6" s="1">
        <v>890000</v>
      </c>
      <c r="D6" s="1">
        <v>0.14000000000000001</v>
      </c>
    </row>
    <row r="7" spans="1:4" x14ac:dyDescent="0.3">
      <c r="A7" s="1" t="s">
        <v>113</v>
      </c>
      <c r="B7" s="1">
        <v>610</v>
      </c>
      <c r="C7" s="1">
        <v>870000</v>
      </c>
      <c r="D7" s="1">
        <v>0.16</v>
      </c>
    </row>
    <row r="8" spans="1:4" x14ac:dyDescent="0.3">
      <c r="A8" s="1" t="s">
        <v>114</v>
      </c>
      <c r="B8" s="1">
        <v>480</v>
      </c>
      <c r="C8" s="1">
        <v>780000</v>
      </c>
      <c r="D8" s="1">
        <v>0.11</v>
      </c>
    </row>
    <row r="9" spans="1:4" x14ac:dyDescent="0.3">
      <c r="A9" s="1" t="s">
        <v>115</v>
      </c>
      <c r="B9" s="1">
        <v>590</v>
      </c>
      <c r="C9" s="1">
        <v>900000</v>
      </c>
      <c r="D9" s="1">
        <v>0.17</v>
      </c>
    </row>
    <row r="10" spans="1:4" x14ac:dyDescent="0.3">
      <c r="A10" s="1" t="s">
        <v>116</v>
      </c>
      <c r="B10" s="1">
        <v>840</v>
      </c>
      <c r="C10" s="1">
        <v>270000</v>
      </c>
      <c r="D10" s="1">
        <v>0.16</v>
      </c>
    </row>
    <row r="11" spans="1:4" x14ac:dyDescent="0.3">
      <c r="A11" s="1" t="s">
        <v>117</v>
      </c>
      <c r="B11" s="1">
        <v>510</v>
      </c>
      <c r="C11" s="1">
        <v>360000</v>
      </c>
      <c r="D11" s="1">
        <v>0.7</v>
      </c>
    </row>
    <row r="12" spans="1:4" x14ac:dyDescent="0.3">
      <c r="A12" s="1" t="s">
        <v>118</v>
      </c>
      <c r="B12" s="1">
        <v>140</v>
      </c>
      <c r="C12" s="1">
        <v>160000</v>
      </c>
      <c r="D12" s="1">
        <v>0.3</v>
      </c>
    </row>
    <row r="13" spans="1:4" x14ac:dyDescent="0.3">
      <c r="A13" s="1" t="s">
        <v>119</v>
      </c>
      <c r="B13" s="1">
        <v>740</v>
      </c>
      <c r="C13" s="1">
        <v>580000</v>
      </c>
      <c r="D13" s="1">
        <v>0.12</v>
      </c>
    </row>
    <row r="14" spans="1:4" x14ac:dyDescent="0.3">
      <c r="A14" s="1" t="s">
        <v>120</v>
      </c>
      <c r="B14" s="1">
        <v>280</v>
      </c>
      <c r="C14" s="1">
        <v>980000</v>
      </c>
      <c r="D14" s="1">
        <v>0.8</v>
      </c>
    </row>
    <row r="15" spans="1:4" x14ac:dyDescent="0.3">
      <c r="A15" s="1" t="s">
        <v>121</v>
      </c>
      <c r="B15" s="1">
        <v>430</v>
      </c>
      <c r="C15" s="1">
        <v>810000</v>
      </c>
      <c r="D15" s="1">
        <v>0.4</v>
      </c>
    </row>
    <row r="16" spans="1:4" x14ac:dyDescent="0.3">
      <c r="A16" s="1" t="s">
        <v>122</v>
      </c>
      <c r="B16" s="1">
        <v>330</v>
      </c>
      <c r="C16" s="1">
        <v>450000</v>
      </c>
      <c r="D16" s="1">
        <v>0.18</v>
      </c>
    </row>
    <row r="18" spans="1:3" ht="15.6" x14ac:dyDescent="0.3">
      <c r="A18" s="13" t="s">
        <v>48</v>
      </c>
      <c r="B18" s="13"/>
      <c r="C18" s="13"/>
    </row>
    <row r="19" spans="1:3" x14ac:dyDescent="0.3">
      <c r="A19" s="14" t="s">
        <v>49</v>
      </c>
      <c r="B19" s="14"/>
      <c r="C19" s="3">
        <f>SUM(C2:C16)</f>
        <v>9350000</v>
      </c>
    </row>
    <row r="20" spans="1:3" x14ac:dyDescent="0.3">
      <c r="A20" s="14" t="s">
        <v>50</v>
      </c>
      <c r="B20" s="14"/>
      <c r="C20" s="3">
        <f>AVERAGE(C2:C16)</f>
        <v>623333.33333333337</v>
      </c>
    </row>
    <row r="21" spans="1:3" x14ac:dyDescent="0.3">
      <c r="A21" s="14" t="s">
        <v>51</v>
      </c>
      <c r="B21" s="14"/>
      <c r="C21" s="3">
        <f>MIN(C2:C16)</f>
        <v>120000</v>
      </c>
    </row>
    <row r="22" spans="1:3" x14ac:dyDescent="0.3">
      <c r="A22" s="14" t="s">
        <v>52</v>
      </c>
      <c r="B22" s="14"/>
      <c r="C22" s="3">
        <f>MAX(C2:C16)</f>
        <v>980000</v>
      </c>
    </row>
    <row r="23" spans="1:3" x14ac:dyDescent="0.3">
      <c r="A23" s="14" t="s">
        <v>53</v>
      </c>
      <c r="B23" s="14"/>
      <c r="C23" s="3">
        <f>COUNT(C2:C16)</f>
        <v>15</v>
      </c>
    </row>
    <row r="25" spans="1:3" ht="15.6" x14ac:dyDescent="0.3">
      <c r="A25" s="13" t="s">
        <v>54</v>
      </c>
      <c r="B25" s="13"/>
      <c r="C25" s="13"/>
    </row>
    <row r="26" spans="1:3" x14ac:dyDescent="0.3">
      <c r="A26" s="14" t="s">
        <v>55</v>
      </c>
      <c r="B26" s="14"/>
      <c r="C26" s="3" t="str">
        <f>IF(E2&gt;10000,"SATISFYING","NOT SATISFYING")</f>
        <v>NOT SATISFYING</v>
      </c>
    </row>
    <row r="27" spans="1:3" x14ac:dyDescent="0.3">
      <c r="A27" s="14" t="s">
        <v>56</v>
      </c>
      <c r="B27" s="14"/>
      <c r="C27" s="3" t="b">
        <f>AND(E2&gt;100000,B2="100")</f>
        <v>0</v>
      </c>
    </row>
    <row r="28" spans="1:3" x14ac:dyDescent="0.3">
      <c r="A28" s="14" t="s">
        <v>57</v>
      </c>
      <c r="B28" s="14"/>
      <c r="C28" s="3" t="b">
        <f>OR(E4&lt;20000,B4="320")</f>
        <v>1</v>
      </c>
    </row>
    <row r="30" spans="1:3" ht="15.6" x14ac:dyDescent="0.3">
      <c r="A30" s="10" t="s">
        <v>58</v>
      </c>
      <c r="B30" s="11"/>
      <c r="C30" s="12"/>
    </row>
    <row r="31" spans="1:3" x14ac:dyDescent="0.3">
      <c r="A31" s="14" t="s">
        <v>59</v>
      </c>
      <c r="B31" s="14"/>
      <c r="C31" s="3" t="str">
        <f>LEFT(A10,3)</f>
        <v>Pad</v>
      </c>
    </row>
    <row r="32" spans="1:3" x14ac:dyDescent="0.3">
      <c r="A32" s="14" t="s">
        <v>60</v>
      </c>
      <c r="B32" s="14"/>
      <c r="C32" s="3" t="str">
        <f>RIGHT(A10,3)</f>
        <v>dwa</v>
      </c>
    </row>
    <row r="33" spans="1:3" x14ac:dyDescent="0.3">
      <c r="A33" s="14" t="s">
        <v>61</v>
      </c>
      <c r="B33" s="14"/>
      <c r="C33" s="3" t="str">
        <f>MID(A10,3,3)</f>
        <v>dwa</v>
      </c>
    </row>
    <row r="34" spans="1:3" x14ac:dyDescent="0.3">
      <c r="A34" s="14" t="s">
        <v>62</v>
      </c>
      <c r="B34" s="14"/>
      <c r="C34" s="3" t="str">
        <f>CONCATENATE(A10," ",B10)</f>
        <v>Padwa 840</v>
      </c>
    </row>
    <row r="36" spans="1:3" ht="15.6" x14ac:dyDescent="0.3">
      <c r="A36" s="13" t="s">
        <v>63</v>
      </c>
      <c r="B36" s="13"/>
      <c r="C36" s="13"/>
    </row>
    <row r="37" spans="1:3" x14ac:dyDescent="0.3">
      <c r="A37" s="14" t="s">
        <v>64</v>
      </c>
      <c r="B37" s="14"/>
      <c r="C37" s="5">
        <f ca="1">TODAY()</f>
        <v>46077</v>
      </c>
    </row>
    <row r="38" spans="1:3" x14ac:dyDescent="0.3">
      <c r="A38" s="14" t="s">
        <v>65</v>
      </c>
      <c r="B38" s="14"/>
      <c r="C38" s="6">
        <f ca="1">NOW()</f>
        <v>46077.759611921298</v>
      </c>
    </row>
    <row r="39" spans="1:3" x14ac:dyDescent="0.3">
      <c r="A39" s="14" t="s">
        <v>66</v>
      </c>
      <c r="B39" s="14"/>
      <c r="C39" s="3"/>
    </row>
    <row r="41" spans="1:3" ht="15.6" x14ac:dyDescent="0.3">
      <c r="A41" s="10" t="s">
        <v>67</v>
      </c>
      <c r="B41" s="11"/>
      <c r="C41" s="12"/>
    </row>
    <row r="42" spans="1:3" x14ac:dyDescent="0.3">
      <c r="A42" s="14" t="s">
        <v>68</v>
      </c>
      <c r="B42" s="14"/>
      <c r="C42" s="7">
        <f>PMT(5%/12, 60, C19)</f>
        <v>-176446.03457150224</v>
      </c>
    </row>
    <row r="43" spans="1:3" x14ac:dyDescent="0.3">
      <c r="A43" s="14" t="s">
        <v>69</v>
      </c>
      <c r="B43" s="14"/>
      <c r="C43" s="7">
        <f>NPV(5%,C2:C16)</f>
        <v>6479138.0973386802</v>
      </c>
    </row>
    <row r="45" spans="1:3" ht="15.6" x14ac:dyDescent="0.3">
      <c r="A45" s="13" t="s">
        <v>70</v>
      </c>
      <c r="B45" s="13"/>
      <c r="C45" s="13"/>
    </row>
    <row r="46" spans="1:3" x14ac:dyDescent="0.3">
      <c r="A46" s="14" t="s">
        <v>71</v>
      </c>
      <c r="B46" s="14"/>
      <c r="C46" s="3">
        <f>VLOOKUP(A6,A2:D16,4,FALSE)</f>
        <v>0.14000000000000001</v>
      </c>
    </row>
    <row r="47" spans="1:3" x14ac:dyDescent="0.3">
      <c r="A47" s="14" t="s">
        <v>72</v>
      </c>
      <c r="B47" s="14"/>
      <c r="C47" s="3">
        <f>HLOOKUP(B2,A2:D16,5,FALSE)</f>
        <v>820</v>
      </c>
    </row>
    <row r="48" spans="1:3" x14ac:dyDescent="0.3">
      <c r="A48" s="14" t="s">
        <v>73</v>
      </c>
      <c r="B48" s="14"/>
      <c r="C48" s="3"/>
    </row>
    <row r="50" spans="1:3" ht="15.6" x14ac:dyDescent="0.3">
      <c r="A50" s="13" t="s">
        <v>74</v>
      </c>
      <c r="B50" s="13"/>
      <c r="C50" s="13"/>
    </row>
    <row r="51" spans="1:3" x14ac:dyDescent="0.3">
      <c r="A51" s="14" t="s">
        <v>75</v>
      </c>
      <c r="B51" s="14"/>
      <c r="C51" s="3">
        <f>AVERAGE(C2:C16)</f>
        <v>623333.33333333337</v>
      </c>
    </row>
    <row r="52" spans="1:3" x14ac:dyDescent="0.3">
      <c r="A52" s="14" t="s">
        <v>76</v>
      </c>
      <c r="B52" s="14"/>
      <c r="C52" s="3">
        <f>MEDIAN(C2:C16)</f>
        <v>780000</v>
      </c>
    </row>
    <row r="53" spans="1:3" x14ac:dyDescent="0.3">
      <c r="A53" s="14" t="s">
        <v>77</v>
      </c>
      <c r="B53" s="14"/>
      <c r="C53" s="3">
        <f>MODE(C2:C16)</f>
        <v>900000</v>
      </c>
    </row>
    <row r="54" spans="1:3" x14ac:dyDescent="0.3">
      <c r="A54" s="14" t="s">
        <v>78</v>
      </c>
      <c r="B54" s="14"/>
      <c r="C54" s="3">
        <f>STDEV(C2:C16)</f>
        <v>294901.11336966266</v>
      </c>
    </row>
    <row r="55" spans="1:3" x14ac:dyDescent="0.3">
      <c r="A55" s="14" t="s">
        <v>79</v>
      </c>
      <c r="B55" s="14"/>
      <c r="C55" s="3">
        <f>CORREL(B2:B16,C2:C16)</f>
        <v>-2.6792668259103414E-2</v>
      </c>
    </row>
  </sheetData>
  <mergeCells count="32">
    <mergeCell ref="A54:B54"/>
    <mergeCell ref="A55:B55"/>
    <mergeCell ref="A47:B47"/>
    <mergeCell ref="A48:B48"/>
    <mergeCell ref="A50:C50"/>
    <mergeCell ref="A51:B51"/>
    <mergeCell ref="A52:B52"/>
    <mergeCell ref="A53:B53"/>
    <mergeCell ref="A46:B46"/>
    <mergeCell ref="A32:B32"/>
    <mergeCell ref="A33:B33"/>
    <mergeCell ref="A34:B34"/>
    <mergeCell ref="A36:C36"/>
    <mergeCell ref="A37:B37"/>
    <mergeCell ref="A38:B38"/>
    <mergeCell ref="A39:B39"/>
    <mergeCell ref="A41:C41"/>
    <mergeCell ref="A42:B42"/>
    <mergeCell ref="A43:B43"/>
    <mergeCell ref="A45:C45"/>
    <mergeCell ref="A31:B31"/>
    <mergeCell ref="A18:C18"/>
    <mergeCell ref="A19:B19"/>
    <mergeCell ref="A20:B20"/>
    <mergeCell ref="A21:B21"/>
    <mergeCell ref="A22:B22"/>
    <mergeCell ref="A23:B23"/>
    <mergeCell ref="A25:C25"/>
    <mergeCell ref="A26:B26"/>
    <mergeCell ref="A27:B27"/>
    <mergeCell ref="A28:B28"/>
    <mergeCell ref="A30:C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tabSelected="1" topLeftCell="B1" workbookViewId="0">
      <selection activeCell="A50" sqref="A50:C50"/>
    </sheetView>
  </sheetViews>
  <sheetFormatPr defaultRowHeight="14.4" x14ac:dyDescent="0.3"/>
  <cols>
    <col min="1" max="1" width="22.33203125" customWidth="1"/>
    <col min="2" max="2" width="19.6640625" customWidth="1"/>
    <col min="3" max="3" width="22.5546875" customWidth="1"/>
    <col min="4" max="4" width="26.33203125" customWidth="1"/>
    <col min="6" max="6" width="16" bestFit="1" customWidth="1"/>
    <col min="7" max="7" width="22.5546875" bestFit="1" customWidth="1"/>
    <col min="8" max="8" width="12.5546875" bestFit="1" customWidth="1"/>
    <col min="9" max="9" width="15.5546875" bestFit="1" customWidth="1"/>
  </cols>
  <sheetData>
    <row r="1" spans="1:6" ht="18" x14ac:dyDescent="0.3">
      <c r="A1" s="9" t="s">
        <v>13</v>
      </c>
      <c r="B1" s="9" t="s">
        <v>14</v>
      </c>
      <c r="C1" s="9" t="s">
        <v>4</v>
      </c>
      <c r="D1" s="9" t="s">
        <v>15</v>
      </c>
      <c r="F1" t="s">
        <v>83</v>
      </c>
    </row>
    <row r="2" spans="1:6" x14ac:dyDescent="0.3">
      <c r="A2" s="2">
        <v>5000000</v>
      </c>
      <c r="B2" s="2">
        <f>(A2*80%)</f>
        <v>4000000</v>
      </c>
      <c r="C2" s="2">
        <f>(A2-B2)</f>
        <v>1000000</v>
      </c>
      <c r="D2" s="2">
        <v>0.95</v>
      </c>
      <c r="F2">
        <v>57200000</v>
      </c>
    </row>
    <row r="3" spans="1:6" x14ac:dyDescent="0.3">
      <c r="A3" s="2">
        <v>6000000</v>
      </c>
      <c r="B3" s="2">
        <f t="shared" ref="B3:B16" si="0">(A3*80%)</f>
        <v>4800000</v>
      </c>
      <c r="C3" s="2">
        <f t="shared" ref="C3:C16" si="1">(A3-B3)</f>
        <v>1200000</v>
      </c>
      <c r="D3" s="2">
        <v>0.75</v>
      </c>
    </row>
    <row r="4" spans="1:6" x14ac:dyDescent="0.3">
      <c r="A4" s="2">
        <v>7000000</v>
      </c>
      <c r="B4" s="2">
        <f t="shared" si="0"/>
        <v>5600000</v>
      </c>
      <c r="C4" s="2">
        <f t="shared" si="1"/>
        <v>1400000</v>
      </c>
      <c r="D4" s="2">
        <v>1.18</v>
      </c>
    </row>
    <row r="5" spans="1:6" x14ac:dyDescent="0.3">
      <c r="A5" s="2">
        <v>3000000</v>
      </c>
      <c r="B5" s="2">
        <f t="shared" si="0"/>
        <v>2400000</v>
      </c>
      <c r="C5" s="2">
        <f t="shared" si="1"/>
        <v>600000</v>
      </c>
      <c r="D5" s="2">
        <v>0.8</v>
      </c>
    </row>
    <row r="6" spans="1:6" x14ac:dyDescent="0.3">
      <c r="A6" s="2">
        <v>1000000</v>
      </c>
      <c r="B6" s="2">
        <f t="shared" si="0"/>
        <v>800000</v>
      </c>
      <c r="C6" s="2">
        <f t="shared" si="1"/>
        <v>200000</v>
      </c>
      <c r="D6" s="2">
        <v>0.9</v>
      </c>
    </row>
    <row r="7" spans="1:6" x14ac:dyDescent="0.3">
      <c r="A7" s="2">
        <v>4000000</v>
      </c>
      <c r="B7" s="2">
        <f t="shared" si="0"/>
        <v>3200000</v>
      </c>
      <c r="C7" s="2">
        <f t="shared" si="1"/>
        <v>800000</v>
      </c>
      <c r="D7" s="2">
        <v>1.1000000000000001</v>
      </c>
    </row>
    <row r="8" spans="1:6" x14ac:dyDescent="0.3">
      <c r="A8" s="2">
        <v>8000000</v>
      </c>
      <c r="B8" s="2">
        <f t="shared" si="0"/>
        <v>6400000</v>
      </c>
      <c r="C8" s="2">
        <f t="shared" si="1"/>
        <v>1600000</v>
      </c>
      <c r="D8" s="2">
        <v>0.72</v>
      </c>
    </row>
    <row r="9" spans="1:6" x14ac:dyDescent="0.3">
      <c r="A9" s="2">
        <v>9000000</v>
      </c>
      <c r="B9" s="2">
        <f t="shared" si="0"/>
        <v>7200000</v>
      </c>
      <c r="C9" s="2">
        <f t="shared" si="1"/>
        <v>1800000</v>
      </c>
      <c r="D9" s="2">
        <v>1.2</v>
      </c>
    </row>
    <row r="10" spans="1:6" x14ac:dyDescent="0.3">
      <c r="A10" s="2">
        <v>2000000</v>
      </c>
      <c r="B10" s="2">
        <f t="shared" si="0"/>
        <v>1600000</v>
      </c>
      <c r="C10" s="2">
        <f t="shared" si="1"/>
        <v>400000</v>
      </c>
      <c r="D10" s="2">
        <v>1.22</v>
      </c>
    </row>
    <row r="11" spans="1:6" x14ac:dyDescent="0.3">
      <c r="A11" s="2">
        <v>1100000</v>
      </c>
      <c r="B11" s="2">
        <f t="shared" si="0"/>
        <v>880000</v>
      </c>
      <c r="C11" s="2">
        <f t="shared" si="1"/>
        <v>220000</v>
      </c>
      <c r="D11" s="2">
        <v>0.79</v>
      </c>
    </row>
    <row r="12" spans="1:6" x14ac:dyDescent="0.3">
      <c r="A12" s="2">
        <v>4500000</v>
      </c>
      <c r="B12" s="2">
        <f t="shared" si="0"/>
        <v>3600000</v>
      </c>
      <c r="C12" s="2">
        <f t="shared" si="1"/>
        <v>900000</v>
      </c>
      <c r="D12" s="2">
        <v>0.99</v>
      </c>
    </row>
    <row r="13" spans="1:6" x14ac:dyDescent="0.3">
      <c r="A13" s="2">
        <v>7600000</v>
      </c>
      <c r="B13" s="2">
        <f t="shared" si="0"/>
        <v>6080000</v>
      </c>
      <c r="C13" s="2">
        <f t="shared" si="1"/>
        <v>1520000</v>
      </c>
      <c r="D13" s="2">
        <v>2.1</v>
      </c>
    </row>
    <row r="14" spans="1:6" x14ac:dyDescent="0.3">
      <c r="A14" s="2">
        <v>3400000</v>
      </c>
      <c r="B14" s="2">
        <f>(A14*80%)</f>
        <v>2720000</v>
      </c>
      <c r="C14" s="2">
        <f t="shared" si="1"/>
        <v>680000</v>
      </c>
      <c r="D14" s="2">
        <v>1.21</v>
      </c>
    </row>
    <row r="15" spans="1:6" x14ac:dyDescent="0.3">
      <c r="A15" s="2">
        <v>1200000</v>
      </c>
      <c r="B15" s="2">
        <f t="shared" si="0"/>
        <v>960000</v>
      </c>
      <c r="C15" s="2">
        <f t="shared" si="1"/>
        <v>240000</v>
      </c>
      <c r="D15" s="2">
        <v>0.89</v>
      </c>
    </row>
    <row r="16" spans="1:6" x14ac:dyDescent="0.3">
      <c r="A16" s="2">
        <v>8700000</v>
      </c>
      <c r="B16" s="2">
        <f t="shared" si="0"/>
        <v>6960000</v>
      </c>
      <c r="C16" s="2">
        <f t="shared" si="1"/>
        <v>1740000</v>
      </c>
      <c r="D16" s="2">
        <v>0.77</v>
      </c>
    </row>
    <row r="18" spans="1:3" ht="15.6" x14ac:dyDescent="0.3">
      <c r="A18" s="13" t="s">
        <v>48</v>
      </c>
      <c r="B18" s="13"/>
      <c r="C18" s="13"/>
    </row>
    <row r="19" spans="1:3" x14ac:dyDescent="0.3">
      <c r="A19" s="14" t="s">
        <v>49</v>
      </c>
      <c r="B19" s="14"/>
      <c r="C19" s="3">
        <f>SUM(C2:C16)</f>
        <v>14300000</v>
      </c>
    </row>
    <row r="20" spans="1:3" x14ac:dyDescent="0.3">
      <c r="A20" s="14" t="s">
        <v>50</v>
      </c>
      <c r="B20" s="14"/>
      <c r="C20" s="3">
        <f>AVERAGE(C2:C16)</f>
        <v>953333.33333333337</v>
      </c>
    </row>
    <row r="21" spans="1:3" x14ac:dyDescent="0.3">
      <c r="A21" s="14" t="s">
        <v>51</v>
      </c>
      <c r="B21" s="14"/>
      <c r="C21" s="3">
        <f>MIN(C2:C16)</f>
        <v>200000</v>
      </c>
    </row>
    <row r="22" spans="1:3" x14ac:dyDescent="0.3">
      <c r="A22" s="14" t="s">
        <v>52</v>
      </c>
      <c r="B22" s="14"/>
      <c r="C22" s="3">
        <f>MAX(C2:C16)</f>
        <v>1800000</v>
      </c>
    </row>
    <row r="23" spans="1:3" x14ac:dyDescent="0.3">
      <c r="A23" s="14" t="s">
        <v>53</v>
      </c>
      <c r="B23" s="14"/>
      <c r="C23" s="3">
        <f>COUNT(C2:C16)</f>
        <v>15</v>
      </c>
    </row>
    <row r="25" spans="1:3" ht="15.6" x14ac:dyDescent="0.3">
      <c r="A25" s="13" t="s">
        <v>54</v>
      </c>
      <c r="B25" s="13"/>
      <c r="C25" s="13"/>
    </row>
    <row r="26" spans="1:3" x14ac:dyDescent="0.3">
      <c r="A26" s="14" t="s">
        <v>55</v>
      </c>
      <c r="B26" s="14"/>
      <c r="C26" s="3" t="str">
        <f>IF(C2&gt;100000,"SATISFYING","NOT SATISFYING")</f>
        <v>SATISFYING</v>
      </c>
    </row>
    <row r="27" spans="1:3" x14ac:dyDescent="0.3">
      <c r="A27" s="14" t="s">
        <v>56</v>
      </c>
      <c r="B27" s="14"/>
      <c r="C27" s="3" t="b">
        <f>AND(B2&gt;2000000,C2="1000000")</f>
        <v>0</v>
      </c>
    </row>
    <row r="28" spans="1:3" x14ac:dyDescent="0.3">
      <c r="A28" s="14" t="s">
        <v>57</v>
      </c>
      <c r="B28" s="14"/>
      <c r="C28" s="3" t="b">
        <f>OR(B4&lt;200000,C4="1400000")</f>
        <v>0</v>
      </c>
    </row>
    <row r="30" spans="1:3" ht="15.6" x14ac:dyDescent="0.3">
      <c r="A30" s="10" t="s">
        <v>58</v>
      </c>
      <c r="B30" s="11"/>
      <c r="C30" s="12"/>
    </row>
    <row r="31" spans="1:3" x14ac:dyDescent="0.3">
      <c r="A31" s="14" t="s">
        <v>59</v>
      </c>
      <c r="B31" s="14"/>
      <c r="C31" s="3" t="str">
        <f>LEFT(B10,3)</f>
        <v>160</v>
      </c>
    </row>
    <row r="32" spans="1:3" x14ac:dyDescent="0.3">
      <c r="A32" s="14" t="s">
        <v>60</v>
      </c>
      <c r="B32" s="14"/>
      <c r="C32" s="3" t="str">
        <f>RIGHT(B10,3)</f>
        <v>000</v>
      </c>
    </row>
    <row r="33" spans="1:3" x14ac:dyDescent="0.3">
      <c r="A33" s="14" t="s">
        <v>61</v>
      </c>
      <c r="B33" s="14"/>
      <c r="C33" s="3" t="str">
        <f>MID(B10,3,3)</f>
        <v>000</v>
      </c>
    </row>
    <row r="34" spans="1:3" x14ac:dyDescent="0.3">
      <c r="A34" s="14" t="s">
        <v>62</v>
      </c>
      <c r="B34" s="14"/>
      <c r="C34" s="3" t="str">
        <f>CONCATENATE(B10," ",C10)</f>
        <v>1600000 400000</v>
      </c>
    </row>
    <row r="36" spans="1:3" ht="15.6" x14ac:dyDescent="0.3">
      <c r="A36" s="13" t="s">
        <v>63</v>
      </c>
      <c r="B36" s="13"/>
      <c r="C36" s="13"/>
    </row>
    <row r="37" spans="1:3" x14ac:dyDescent="0.3">
      <c r="A37" s="14" t="s">
        <v>64</v>
      </c>
      <c r="B37" s="14"/>
      <c r="C37" s="5">
        <f ca="1">TODAY()</f>
        <v>46077</v>
      </c>
    </row>
    <row r="38" spans="1:3" x14ac:dyDescent="0.3">
      <c r="A38" s="14" t="s">
        <v>65</v>
      </c>
      <c r="B38" s="14"/>
      <c r="C38" s="6">
        <f ca="1">NOW()</f>
        <v>46077.759611921298</v>
      </c>
    </row>
    <row r="39" spans="1:3" x14ac:dyDescent="0.3">
      <c r="A39" s="14" t="s">
        <v>66</v>
      </c>
      <c r="B39" s="14"/>
      <c r="C39" s="3"/>
    </row>
    <row r="41" spans="1:3" ht="15.6" x14ac:dyDescent="0.3">
      <c r="A41" s="10" t="s">
        <v>67</v>
      </c>
      <c r="B41" s="11"/>
      <c r="C41" s="12"/>
    </row>
    <row r="42" spans="1:3" x14ac:dyDescent="0.3">
      <c r="A42" s="14" t="s">
        <v>68</v>
      </c>
      <c r="B42" s="14"/>
      <c r="C42" s="7">
        <f>PMT(5%/10, 50, C19)</f>
        <v>-323948.73959075985</v>
      </c>
    </row>
    <row r="43" spans="1:3" x14ac:dyDescent="0.3">
      <c r="A43" s="14" t="s">
        <v>69</v>
      </c>
      <c r="B43" s="14"/>
      <c r="C43" s="7">
        <f>NPV(5%,C2:C16)</f>
        <v>9937202.2757224124</v>
      </c>
    </row>
    <row r="45" spans="1:3" ht="15.6" x14ac:dyDescent="0.3">
      <c r="A45" s="13" t="s">
        <v>70</v>
      </c>
      <c r="B45" s="13"/>
      <c r="C45" s="13"/>
    </row>
    <row r="46" spans="1:3" x14ac:dyDescent="0.3">
      <c r="A46" s="14" t="s">
        <v>71</v>
      </c>
      <c r="B46" s="14"/>
      <c r="C46" s="3">
        <f>VLOOKUP(A4,A2:D16,3,FALSE)</f>
        <v>1400000</v>
      </c>
    </row>
    <row r="47" spans="1:3" x14ac:dyDescent="0.3">
      <c r="A47" s="14" t="s">
        <v>72</v>
      </c>
      <c r="B47" s="14"/>
      <c r="C47" s="3">
        <f>HLOOKUP(B2,A2:D16,4,FALSE)</f>
        <v>2400000</v>
      </c>
    </row>
    <row r="48" spans="1:3" x14ac:dyDescent="0.3">
      <c r="A48" s="14" t="s">
        <v>73</v>
      </c>
      <c r="B48" s="14"/>
      <c r="C48" s="3"/>
    </row>
    <row r="50" spans="1:3" ht="15.6" x14ac:dyDescent="0.3">
      <c r="A50" s="13" t="s">
        <v>74</v>
      </c>
      <c r="B50" s="13"/>
      <c r="C50" s="13"/>
    </row>
    <row r="51" spans="1:3" x14ac:dyDescent="0.3">
      <c r="A51" s="14" t="s">
        <v>75</v>
      </c>
      <c r="B51" s="14"/>
      <c r="C51" s="3">
        <f>AVERAGE(C2:C16)</f>
        <v>953333.33333333337</v>
      </c>
    </row>
    <row r="52" spans="1:3" x14ac:dyDescent="0.3">
      <c r="A52" s="14" t="s">
        <v>76</v>
      </c>
      <c r="B52" s="14"/>
      <c r="C52" s="3">
        <f>MEDIAN(C2:C16)</f>
        <v>900000</v>
      </c>
    </row>
    <row r="53" spans="1:3" x14ac:dyDescent="0.3">
      <c r="A53" s="14" t="s">
        <v>77</v>
      </c>
      <c r="B53" s="14"/>
      <c r="C53" s="3"/>
    </row>
    <row r="54" spans="1:3" x14ac:dyDescent="0.3">
      <c r="A54" s="14" t="s">
        <v>78</v>
      </c>
      <c r="B54" s="14"/>
      <c r="C54" s="3">
        <f>STDEV(C2:C16)</f>
        <v>565921.07812544564</v>
      </c>
    </row>
    <row r="55" spans="1:3" x14ac:dyDescent="0.3">
      <c r="A55" s="14" t="s">
        <v>79</v>
      </c>
      <c r="B55" s="14"/>
      <c r="C55" s="3">
        <f>CORREL(B2:B16,C2:C16)</f>
        <v>1.0000000000000002</v>
      </c>
    </row>
  </sheetData>
  <mergeCells count="32">
    <mergeCell ref="A54:B54"/>
    <mergeCell ref="A55:B55"/>
    <mergeCell ref="A47:B47"/>
    <mergeCell ref="A48:B48"/>
    <mergeCell ref="A50:C50"/>
    <mergeCell ref="A51:B51"/>
    <mergeCell ref="A52:B52"/>
    <mergeCell ref="A53:B53"/>
    <mergeCell ref="A46:B46"/>
    <mergeCell ref="A32:B32"/>
    <mergeCell ref="A33:B33"/>
    <mergeCell ref="A34:B34"/>
    <mergeCell ref="A36:C36"/>
    <mergeCell ref="A37:B37"/>
    <mergeCell ref="A38:B38"/>
    <mergeCell ref="A39:B39"/>
    <mergeCell ref="A41:C41"/>
    <mergeCell ref="A42:B42"/>
    <mergeCell ref="A43:B43"/>
    <mergeCell ref="A45:C45"/>
    <mergeCell ref="A31:B31"/>
    <mergeCell ref="A18:C18"/>
    <mergeCell ref="A19:B19"/>
    <mergeCell ref="A20:B20"/>
    <mergeCell ref="A21:B21"/>
    <mergeCell ref="A22:B22"/>
    <mergeCell ref="A23:B23"/>
    <mergeCell ref="A25:C25"/>
    <mergeCell ref="A26:B26"/>
    <mergeCell ref="A27:B27"/>
    <mergeCell ref="A28:B28"/>
    <mergeCell ref="A30:C30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topLeftCell="A15" zoomScale="70" zoomScaleNormal="70" workbookViewId="0">
      <selection activeCell="G1" sqref="G1:G12"/>
    </sheetView>
  </sheetViews>
  <sheetFormatPr defaultRowHeight="14.4" x14ac:dyDescent="0.3"/>
  <cols>
    <col min="1" max="1" width="19.109375" customWidth="1"/>
    <col min="2" max="2" width="19" customWidth="1"/>
    <col min="3" max="3" width="18.33203125" customWidth="1"/>
    <col min="4" max="4" width="20" customWidth="1"/>
    <col min="5" max="5" width="17.33203125" customWidth="1"/>
    <col min="7" max="7" width="24.5546875" customWidth="1"/>
    <col min="8" max="8" width="12.88671875" customWidth="1"/>
    <col min="9" max="9" width="16.5546875" customWidth="1"/>
    <col min="10" max="10" width="16.5546875" bestFit="1" customWidth="1"/>
  </cols>
  <sheetData>
    <row r="1" spans="1:7" ht="18" x14ac:dyDescent="0.3">
      <c r="A1" s="9" t="s">
        <v>85</v>
      </c>
      <c r="B1" s="9" t="s">
        <v>16</v>
      </c>
      <c r="C1" s="9" t="s">
        <v>17</v>
      </c>
      <c r="D1" s="9" t="s">
        <v>18</v>
      </c>
      <c r="E1" s="9" t="s">
        <v>19</v>
      </c>
      <c r="G1" s="17" t="s">
        <v>80</v>
      </c>
    </row>
    <row r="2" spans="1:7" x14ac:dyDescent="0.3">
      <c r="A2" s="1">
        <v>101</v>
      </c>
      <c r="B2" s="1" t="s">
        <v>20</v>
      </c>
      <c r="C2" s="1">
        <v>45000</v>
      </c>
      <c r="D2" s="1">
        <v>3</v>
      </c>
      <c r="E2" s="1" t="s">
        <v>25</v>
      </c>
      <c r="G2" s="18" t="s">
        <v>22</v>
      </c>
    </row>
    <row r="3" spans="1:7" x14ac:dyDescent="0.3">
      <c r="A3" s="1">
        <v>102</v>
      </c>
      <c r="B3" s="1" t="s">
        <v>21</v>
      </c>
      <c r="C3" s="1">
        <v>52000</v>
      </c>
      <c r="D3" s="1">
        <v>5</v>
      </c>
      <c r="E3" s="1" t="s">
        <v>26</v>
      </c>
      <c r="G3" s="19" t="s">
        <v>25</v>
      </c>
    </row>
    <row r="4" spans="1:7" x14ac:dyDescent="0.3">
      <c r="A4" s="1">
        <v>103</v>
      </c>
      <c r="B4" s="1" t="s">
        <v>22</v>
      </c>
      <c r="C4" s="1">
        <v>60000</v>
      </c>
      <c r="D4" s="1">
        <v>4</v>
      </c>
      <c r="E4" s="1" t="s">
        <v>25</v>
      </c>
      <c r="G4" s="18" t="s">
        <v>23</v>
      </c>
    </row>
    <row r="5" spans="1:7" x14ac:dyDescent="0.3">
      <c r="A5" s="1">
        <v>104</v>
      </c>
      <c r="B5" s="1" t="s">
        <v>23</v>
      </c>
      <c r="C5" s="1">
        <v>48000</v>
      </c>
      <c r="D5" s="1">
        <v>6</v>
      </c>
      <c r="E5" s="1" t="s">
        <v>25</v>
      </c>
      <c r="G5" s="19" t="s">
        <v>25</v>
      </c>
    </row>
    <row r="6" spans="1:7" x14ac:dyDescent="0.3">
      <c r="A6" s="1">
        <v>105</v>
      </c>
      <c r="B6" s="1" t="s">
        <v>24</v>
      </c>
      <c r="C6" s="1">
        <v>70000</v>
      </c>
      <c r="D6" s="1">
        <v>2</v>
      </c>
      <c r="E6" s="1" t="s">
        <v>26</v>
      </c>
      <c r="G6" s="18" t="s">
        <v>24</v>
      </c>
    </row>
    <row r="7" spans="1:7" x14ac:dyDescent="0.3">
      <c r="A7" s="1">
        <v>106</v>
      </c>
      <c r="B7" s="1" t="s">
        <v>20</v>
      </c>
      <c r="C7" s="1">
        <v>45000</v>
      </c>
      <c r="D7" s="1">
        <v>3</v>
      </c>
      <c r="E7" s="1" t="s">
        <v>25</v>
      </c>
      <c r="G7" s="19" t="s">
        <v>26</v>
      </c>
    </row>
    <row r="8" spans="1:7" x14ac:dyDescent="0.3">
      <c r="A8" s="1">
        <v>107</v>
      </c>
      <c r="B8" s="1" t="s">
        <v>21</v>
      </c>
      <c r="C8" s="1">
        <v>52000</v>
      </c>
      <c r="D8" s="1">
        <v>5</v>
      </c>
      <c r="E8" s="1" t="s">
        <v>26</v>
      </c>
      <c r="G8" s="18" t="s">
        <v>21</v>
      </c>
    </row>
    <row r="9" spans="1:7" x14ac:dyDescent="0.3">
      <c r="A9" s="1">
        <v>108</v>
      </c>
      <c r="B9" s="1" t="s">
        <v>22</v>
      </c>
      <c r="C9" s="1">
        <v>60000</v>
      </c>
      <c r="D9" s="1">
        <v>4</v>
      </c>
      <c r="E9" s="1" t="s">
        <v>25</v>
      </c>
      <c r="G9" s="19" t="s">
        <v>26</v>
      </c>
    </row>
    <row r="10" spans="1:7" x14ac:dyDescent="0.3">
      <c r="A10" s="1">
        <v>109</v>
      </c>
      <c r="B10" s="1" t="s">
        <v>23</v>
      </c>
      <c r="C10" s="1">
        <v>48000</v>
      </c>
      <c r="D10" s="1">
        <v>6</v>
      </c>
      <c r="E10" s="1" t="s">
        <v>25</v>
      </c>
      <c r="G10" s="18" t="s">
        <v>20</v>
      </c>
    </row>
    <row r="11" spans="1:7" x14ac:dyDescent="0.3">
      <c r="A11" s="1">
        <v>110</v>
      </c>
      <c r="B11" s="1" t="s">
        <v>24</v>
      </c>
      <c r="C11" s="1">
        <v>70000</v>
      </c>
      <c r="D11" s="1">
        <v>2</v>
      </c>
      <c r="E11" s="1" t="s">
        <v>26</v>
      </c>
      <c r="G11" s="19" t="s">
        <v>25</v>
      </c>
    </row>
    <row r="12" spans="1:7" x14ac:dyDescent="0.3">
      <c r="A12" s="1">
        <v>111</v>
      </c>
      <c r="B12" s="1" t="s">
        <v>20</v>
      </c>
      <c r="C12" s="1">
        <v>45000</v>
      </c>
      <c r="D12" s="1">
        <v>3</v>
      </c>
      <c r="E12" s="1" t="s">
        <v>25</v>
      </c>
      <c r="G12" s="18" t="s">
        <v>81</v>
      </c>
    </row>
    <row r="13" spans="1:7" x14ac:dyDescent="0.3">
      <c r="A13" s="1">
        <v>112</v>
      </c>
      <c r="B13" s="1" t="s">
        <v>21</v>
      </c>
      <c r="C13" s="1">
        <v>52000</v>
      </c>
      <c r="D13" s="1">
        <v>5</v>
      </c>
      <c r="E13" s="1" t="s">
        <v>26</v>
      </c>
    </row>
    <row r="14" spans="1:7" x14ac:dyDescent="0.3">
      <c r="A14" s="1">
        <v>113</v>
      </c>
      <c r="B14" s="1" t="s">
        <v>22</v>
      </c>
      <c r="C14" s="1">
        <v>60000</v>
      </c>
      <c r="D14" s="1">
        <v>4</v>
      </c>
      <c r="E14" s="1" t="s">
        <v>25</v>
      </c>
    </row>
    <row r="15" spans="1:7" x14ac:dyDescent="0.3">
      <c r="A15" s="1">
        <v>114</v>
      </c>
      <c r="B15" s="1" t="s">
        <v>23</v>
      </c>
      <c r="C15" s="1">
        <v>48000</v>
      </c>
      <c r="D15" s="1">
        <v>6</v>
      </c>
      <c r="E15" s="1" t="s">
        <v>25</v>
      </c>
    </row>
    <row r="16" spans="1:7" x14ac:dyDescent="0.3">
      <c r="A16" s="1">
        <v>115</v>
      </c>
      <c r="B16" s="1" t="s">
        <v>24</v>
      </c>
      <c r="C16" s="1">
        <v>70000</v>
      </c>
      <c r="D16" s="1">
        <v>2</v>
      </c>
      <c r="E16" s="1" t="s">
        <v>26</v>
      </c>
    </row>
    <row r="18" spans="1:3" ht="15.6" x14ac:dyDescent="0.3">
      <c r="A18" s="13" t="s">
        <v>48</v>
      </c>
      <c r="B18" s="13"/>
      <c r="C18" s="13"/>
    </row>
    <row r="19" spans="1:3" x14ac:dyDescent="0.3">
      <c r="A19" s="14" t="s">
        <v>49</v>
      </c>
      <c r="B19" s="14"/>
      <c r="C19" s="3">
        <f>SUM(C2:C16)</f>
        <v>825000</v>
      </c>
    </row>
    <row r="20" spans="1:3" x14ac:dyDescent="0.3">
      <c r="A20" s="14" t="s">
        <v>50</v>
      </c>
      <c r="B20" s="14"/>
      <c r="C20" s="3">
        <f>AVERAGE(C2:C16)</f>
        <v>55000</v>
      </c>
    </row>
    <row r="21" spans="1:3" x14ac:dyDescent="0.3">
      <c r="A21" s="14" t="s">
        <v>51</v>
      </c>
      <c r="B21" s="14"/>
      <c r="C21" s="3">
        <f>MIN(C2:C16)</f>
        <v>45000</v>
      </c>
    </row>
    <row r="22" spans="1:3" x14ac:dyDescent="0.3">
      <c r="A22" s="14" t="s">
        <v>52</v>
      </c>
      <c r="B22" s="14"/>
      <c r="C22" s="3">
        <f>MAX(C2:C16)</f>
        <v>70000</v>
      </c>
    </row>
    <row r="23" spans="1:3" x14ac:dyDescent="0.3">
      <c r="A23" s="14" t="s">
        <v>53</v>
      </c>
      <c r="B23" s="14"/>
      <c r="C23" s="3">
        <f>COUNT(C2:C16)</f>
        <v>15</v>
      </c>
    </row>
    <row r="25" spans="1:3" ht="15.6" x14ac:dyDescent="0.3">
      <c r="A25" s="13" t="s">
        <v>54</v>
      </c>
      <c r="B25" s="13"/>
      <c r="C25" s="13"/>
    </row>
    <row r="26" spans="1:3" x14ac:dyDescent="0.3">
      <c r="A26" s="14" t="s">
        <v>55</v>
      </c>
      <c r="B26" s="14"/>
      <c r="C26" s="3" t="str">
        <f>IF(D2&gt;3,"SATISFYING","NOT SATISFYING")</f>
        <v>NOT SATISFYING</v>
      </c>
    </row>
    <row r="27" spans="1:3" x14ac:dyDescent="0.3">
      <c r="A27" s="14" t="s">
        <v>56</v>
      </c>
      <c r="B27" s="14"/>
      <c r="C27" s="3" t="b">
        <f>AND(C2&gt;10000,B2="Sales")</f>
        <v>1</v>
      </c>
    </row>
    <row r="28" spans="1:3" x14ac:dyDescent="0.3">
      <c r="A28" s="14" t="s">
        <v>57</v>
      </c>
      <c r="B28" s="14"/>
      <c r="C28" s="3" t="b">
        <f>OR(C4&lt;20000,B4="HR")</f>
        <v>0</v>
      </c>
    </row>
    <row r="30" spans="1:3" ht="15.6" x14ac:dyDescent="0.3">
      <c r="A30" s="10" t="s">
        <v>58</v>
      </c>
      <c r="B30" s="11"/>
      <c r="C30" s="12"/>
    </row>
    <row r="31" spans="1:3" x14ac:dyDescent="0.3">
      <c r="A31" s="14" t="s">
        <v>59</v>
      </c>
      <c r="B31" s="14"/>
      <c r="C31" s="3" t="str">
        <f>LEFT(B9,3)</f>
        <v>Fin</v>
      </c>
    </row>
    <row r="32" spans="1:3" x14ac:dyDescent="0.3">
      <c r="A32" s="14" t="s">
        <v>60</v>
      </c>
      <c r="B32" s="14"/>
      <c r="C32" s="3" t="str">
        <f>RIGHT(B9,3)</f>
        <v>nce</v>
      </c>
    </row>
    <row r="33" spans="1:3" x14ac:dyDescent="0.3">
      <c r="A33" s="14" t="s">
        <v>61</v>
      </c>
      <c r="B33" s="14"/>
      <c r="C33" s="3" t="str">
        <f>MID(B9,3,3)</f>
        <v>nan</v>
      </c>
    </row>
    <row r="34" spans="1:3" x14ac:dyDescent="0.3">
      <c r="A34" s="14" t="s">
        <v>62</v>
      </c>
      <c r="B34" s="14"/>
      <c r="C34" s="3" t="str">
        <f>CONCATENATE(B10," ",C10)</f>
        <v>HR 48000</v>
      </c>
    </row>
    <row r="36" spans="1:3" ht="15.6" x14ac:dyDescent="0.3">
      <c r="A36" s="13" t="s">
        <v>63</v>
      </c>
      <c r="B36" s="13"/>
      <c r="C36" s="13"/>
    </row>
    <row r="37" spans="1:3" x14ac:dyDescent="0.3">
      <c r="A37" s="14" t="s">
        <v>64</v>
      </c>
      <c r="B37" s="14"/>
      <c r="C37" s="5">
        <f ca="1">TODAY()</f>
        <v>46077</v>
      </c>
    </row>
    <row r="38" spans="1:3" x14ac:dyDescent="0.3">
      <c r="A38" s="14" t="s">
        <v>65</v>
      </c>
      <c r="B38" s="14"/>
      <c r="C38" s="6">
        <f ca="1">NOW()</f>
        <v>46077.759611921298</v>
      </c>
    </row>
    <row r="39" spans="1:3" x14ac:dyDescent="0.3">
      <c r="A39" s="14" t="s">
        <v>66</v>
      </c>
      <c r="B39" s="14"/>
      <c r="C39" s="3"/>
    </row>
    <row r="41" spans="1:3" ht="15.6" x14ac:dyDescent="0.3">
      <c r="A41" s="10" t="s">
        <v>67</v>
      </c>
      <c r="B41" s="11"/>
      <c r="C41" s="12"/>
    </row>
    <row r="42" spans="1:3" x14ac:dyDescent="0.3">
      <c r="A42" s="14" t="s">
        <v>68</v>
      </c>
      <c r="B42" s="14"/>
      <c r="C42" s="7">
        <f>PMT(5%/12, 60, C19)</f>
        <v>-15568.76775630902</v>
      </c>
    </row>
    <row r="43" spans="1:3" x14ac:dyDescent="0.3">
      <c r="A43" s="14" t="s">
        <v>69</v>
      </c>
      <c r="B43" s="14"/>
      <c r="C43" s="7">
        <f>NPV(5%,C2:C16)</f>
        <v>566249.97495808871</v>
      </c>
    </row>
    <row r="45" spans="1:3" ht="15.6" x14ac:dyDescent="0.3">
      <c r="A45" s="13" t="s">
        <v>70</v>
      </c>
      <c r="B45" s="13"/>
      <c r="C45" s="13"/>
    </row>
    <row r="46" spans="1:3" x14ac:dyDescent="0.3">
      <c r="A46" s="14" t="s">
        <v>71</v>
      </c>
      <c r="B46" s="14"/>
      <c r="C46" s="3" t="str">
        <f>VLOOKUP(A6,A2:E16,5,FALSE)</f>
        <v>no</v>
      </c>
    </row>
    <row r="47" spans="1:3" x14ac:dyDescent="0.3">
      <c r="A47" s="14" t="s">
        <v>72</v>
      </c>
      <c r="B47" s="14"/>
      <c r="C47" s="3">
        <f>HLOOKUP(C2,A2:E16,4,FALSE)</f>
        <v>48000</v>
      </c>
    </row>
    <row r="48" spans="1:3" x14ac:dyDescent="0.3">
      <c r="A48" s="14" t="s">
        <v>73</v>
      </c>
      <c r="B48" s="14"/>
      <c r="C48" s="3"/>
    </row>
    <row r="50" spans="1:3" ht="15.6" x14ac:dyDescent="0.3">
      <c r="A50" s="13" t="s">
        <v>74</v>
      </c>
      <c r="B50" s="13"/>
      <c r="C50" s="13"/>
    </row>
    <row r="51" spans="1:3" x14ac:dyDescent="0.3">
      <c r="A51" s="14" t="s">
        <v>75</v>
      </c>
      <c r="B51" s="14"/>
      <c r="C51" s="3">
        <f>AVERAGE(C2:C16)</f>
        <v>55000</v>
      </c>
    </row>
    <row r="52" spans="1:3" x14ac:dyDescent="0.3">
      <c r="A52" s="14" t="s">
        <v>76</v>
      </c>
      <c r="B52" s="14"/>
      <c r="C52" s="3">
        <f>MEDIAN(C2:C16)</f>
        <v>52000</v>
      </c>
    </row>
    <row r="53" spans="1:3" x14ac:dyDescent="0.3">
      <c r="A53" s="14" t="s">
        <v>77</v>
      </c>
      <c r="B53" s="14"/>
      <c r="C53" s="3">
        <f>MODE(C2:C16)</f>
        <v>45000</v>
      </c>
    </row>
    <row r="54" spans="1:3" x14ac:dyDescent="0.3">
      <c r="A54" s="14" t="s">
        <v>78</v>
      </c>
      <c r="B54" s="14"/>
      <c r="C54" s="3">
        <f>STDEV(C2:C16)</f>
        <v>9350.3246696877559</v>
      </c>
    </row>
    <row r="55" spans="1:3" x14ac:dyDescent="0.3">
      <c r="A55" s="14" t="s">
        <v>79</v>
      </c>
      <c r="B55" s="14"/>
      <c r="C55" s="3">
        <f>CORREL(C2:C16,D2:D16)</f>
        <v>-0.5792574692537632</v>
      </c>
    </row>
  </sheetData>
  <mergeCells count="32">
    <mergeCell ref="A54:B54"/>
    <mergeCell ref="A55:B55"/>
    <mergeCell ref="A47:B47"/>
    <mergeCell ref="A48:B48"/>
    <mergeCell ref="A50:C50"/>
    <mergeCell ref="A51:B51"/>
    <mergeCell ref="A52:B52"/>
    <mergeCell ref="A53:B53"/>
    <mergeCell ref="A46:B46"/>
    <mergeCell ref="A32:B32"/>
    <mergeCell ref="A33:B33"/>
    <mergeCell ref="A34:B34"/>
    <mergeCell ref="A36:C36"/>
    <mergeCell ref="A37:B37"/>
    <mergeCell ref="A38:B38"/>
    <mergeCell ref="A39:B39"/>
    <mergeCell ref="A41:C41"/>
    <mergeCell ref="A42:B42"/>
    <mergeCell ref="A43:B43"/>
    <mergeCell ref="A45:C45"/>
    <mergeCell ref="A31:B31"/>
    <mergeCell ref="A18:C18"/>
    <mergeCell ref="A19:B19"/>
    <mergeCell ref="A20:B20"/>
    <mergeCell ref="A21:B21"/>
    <mergeCell ref="A22:B22"/>
    <mergeCell ref="A23:B23"/>
    <mergeCell ref="A25:C25"/>
    <mergeCell ref="A26:B26"/>
    <mergeCell ref="A27:B27"/>
    <mergeCell ref="A28:B28"/>
    <mergeCell ref="A30:C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>
      <selection activeCell="E55" sqref="E55"/>
    </sheetView>
  </sheetViews>
  <sheetFormatPr defaultRowHeight="14.4" x14ac:dyDescent="0.3"/>
  <cols>
    <col min="1" max="1" width="21.44140625" customWidth="1"/>
    <col min="2" max="3" width="20" customWidth="1"/>
    <col min="4" max="4" width="22.33203125" customWidth="1"/>
    <col min="5" max="5" width="22.44140625" customWidth="1"/>
    <col min="7" max="7" width="13.109375" bestFit="1" customWidth="1"/>
    <col min="8" max="9" width="15.88671875" customWidth="1"/>
    <col min="10" max="10" width="16.33203125" bestFit="1" customWidth="1"/>
  </cols>
  <sheetData>
    <row r="1" spans="1:8" ht="18" x14ac:dyDescent="0.3">
      <c r="A1" s="9" t="s">
        <v>86</v>
      </c>
      <c r="B1" s="9" t="s">
        <v>87</v>
      </c>
      <c r="C1" s="9" t="s">
        <v>27</v>
      </c>
      <c r="D1" s="9" t="s">
        <v>88</v>
      </c>
      <c r="E1" s="9" t="s">
        <v>28</v>
      </c>
      <c r="G1" s="8" t="s">
        <v>80</v>
      </c>
      <c r="H1" t="s">
        <v>84</v>
      </c>
    </row>
    <row r="2" spans="1:8" x14ac:dyDescent="0.3">
      <c r="A2" s="1" t="s">
        <v>29</v>
      </c>
      <c r="B2" s="1">
        <v>23</v>
      </c>
      <c r="C2" s="1">
        <v>15000</v>
      </c>
      <c r="D2" s="1">
        <v>0</v>
      </c>
      <c r="E2" s="1" t="s">
        <v>44</v>
      </c>
      <c r="G2" s="4" t="s">
        <v>44</v>
      </c>
      <c r="H2">
        <v>144900</v>
      </c>
    </row>
    <row r="3" spans="1:8" x14ac:dyDescent="0.3">
      <c r="A3" s="1" t="s">
        <v>30</v>
      </c>
      <c r="B3" s="1">
        <v>45</v>
      </c>
      <c r="C3" s="1">
        <v>20000</v>
      </c>
      <c r="D3" s="1">
        <v>0</v>
      </c>
      <c r="E3" s="1" t="s">
        <v>45</v>
      </c>
      <c r="G3" s="4" t="s">
        <v>47</v>
      </c>
      <c r="H3">
        <v>114000</v>
      </c>
    </row>
    <row r="4" spans="1:8" x14ac:dyDescent="0.3">
      <c r="A4" s="1" t="s">
        <v>31</v>
      </c>
      <c r="B4" s="1">
        <v>34</v>
      </c>
      <c r="C4" s="1">
        <v>34000</v>
      </c>
      <c r="D4" s="1">
        <v>7000</v>
      </c>
      <c r="E4" s="1" t="s">
        <v>46</v>
      </c>
      <c r="G4" s="4" t="s">
        <v>45</v>
      </c>
      <c r="H4">
        <v>159500</v>
      </c>
    </row>
    <row r="5" spans="1:8" x14ac:dyDescent="0.3">
      <c r="A5" s="1" t="s">
        <v>32</v>
      </c>
      <c r="B5" s="1">
        <v>18</v>
      </c>
      <c r="C5" s="1">
        <v>21000</v>
      </c>
      <c r="D5" s="1">
        <v>0</v>
      </c>
      <c r="E5" s="1" t="s">
        <v>47</v>
      </c>
      <c r="G5" s="4" t="s">
        <v>46</v>
      </c>
      <c r="H5">
        <v>183100</v>
      </c>
    </row>
    <row r="6" spans="1:8" x14ac:dyDescent="0.3">
      <c r="A6" s="1" t="s">
        <v>33</v>
      </c>
      <c r="B6" s="1">
        <v>26</v>
      </c>
      <c r="C6" s="1">
        <v>30500</v>
      </c>
      <c r="D6" s="1">
        <v>4600</v>
      </c>
      <c r="E6" s="1" t="s">
        <v>44</v>
      </c>
      <c r="G6" s="4" t="s">
        <v>81</v>
      </c>
      <c r="H6">
        <v>601500</v>
      </c>
    </row>
    <row r="7" spans="1:8" x14ac:dyDescent="0.3">
      <c r="A7" s="1" t="s">
        <v>34</v>
      </c>
      <c r="B7" s="1">
        <v>65</v>
      </c>
      <c r="C7" s="1">
        <v>33700</v>
      </c>
      <c r="D7" s="1">
        <v>500</v>
      </c>
      <c r="E7" s="1" t="s">
        <v>45</v>
      </c>
    </row>
    <row r="8" spans="1:8" x14ac:dyDescent="0.3">
      <c r="A8" s="1" t="s">
        <v>35</v>
      </c>
      <c r="B8" s="1">
        <v>73</v>
      </c>
      <c r="C8" s="1">
        <v>36900</v>
      </c>
      <c r="D8" s="1">
        <v>0</v>
      </c>
      <c r="E8" s="1" t="s">
        <v>46</v>
      </c>
    </row>
    <row r="9" spans="1:8" x14ac:dyDescent="0.3">
      <c r="A9" s="1" t="s">
        <v>36</v>
      </c>
      <c r="B9" s="1">
        <v>55</v>
      </c>
      <c r="C9" s="1">
        <v>40100</v>
      </c>
      <c r="D9" s="1">
        <v>2100</v>
      </c>
      <c r="E9" s="1" t="s">
        <v>47</v>
      </c>
    </row>
    <row r="10" spans="1:8" x14ac:dyDescent="0.3">
      <c r="A10" s="1" t="s">
        <v>37</v>
      </c>
      <c r="B10" s="1">
        <v>48</v>
      </c>
      <c r="C10" s="1">
        <v>43300</v>
      </c>
      <c r="D10" s="1">
        <v>0</v>
      </c>
      <c r="E10" s="1" t="s">
        <v>44</v>
      </c>
    </row>
    <row r="11" spans="1:8" x14ac:dyDescent="0.3">
      <c r="A11" s="1" t="s">
        <v>38</v>
      </c>
      <c r="B11" s="1">
        <v>35</v>
      </c>
      <c r="C11" s="1">
        <v>46500</v>
      </c>
      <c r="D11" s="1">
        <v>0</v>
      </c>
      <c r="E11" s="1" t="s">
        <v>45</v>
      </c>
    </row>
    <row r="12" spans="1:8" x14ac:dyDescent="0.3">
      <c r="A12" s="1" t="s">
        <v>39</v>
      </c>
      <c r="B12" s="1">
        <v>38</v>
      </c>
      <c r="C12" s="1">
        <v>49700</v>
      </c>
      <c r="D12" s="1">
        <v>0</v>
      </c>
      <c r="E12" s="1" t="s">
        <v>46</v>
      </c>
    </row>
    <row r="13" spans="1:8" x14ac:dyDescent="0.3">
      <c r="A13" s="1" t="s">
        <v>40</v>
      </c>
      <c r="B13" s="1">
        <v>21</v>
      </c>
      <c r="C13" s="1">
        <v>52900</v>
      </c>
      <c r="D13" s="1">
        <v>900</v>
      </c>
      <c r="E13" s="1" t="s">
        <v>47</v>
      </c>
    </row>
    <row r="14" spans="1:8" x14ac:dyDescent="0.3">
      <c r="A14" s="1" t="s">
        <v>41</v>
      </c>
      <c r="B14" s="1">
        <v>19</v>
      </c>
      <c r="C14" s="1">
        <v>56100</v>
      </c>
      <c r="D14" s="1">
        <v>0</v>
      </c>
      <c r="E14" s="1" t="s">
        <v>44</v>
      </c>
    </row>
    <row r="15" spans="1:8" x14ac:dyDescent="0.3">
      <c r="A15" s="1" t="s">
        <v>42</v>
      </c>
      <c r="B15" s="1">
        <v>20</v>
      </c>
      <c r="C15" s="1">
        <v>59300</v>
      </c>
      <c r="D15" s="1">
        <v>15000</v>
      </c>
      <c r="E15" s="1" t="s">
        <v>45</v>
      </c>
    </row>
    <row r="16" spans="1:8" x14ac:dyDescent="0.3">
      <c r="A16" s="1" t="s">
        <v>43</v>
      </c>
      <c r="B16" s="1">
        <v>52</v>
      </c>
      <c r="C16" s="1">
        <v>62500</v>
      </c>
      <c r="D16" s="1">
        <v>3700</v>
      </c>
      <c r="E16" s="1" t="s">
        <v>46</v>
      </c>
    </row>
    <row r="18" spans="1:3" ht="15.6" x14ac:dyDescent="0.3">
      <c r="A18" s="13" t="s">
        <v>48</v>
      </c>
      <c r="B18" s="13"/>
      <c r="C18" s="13"/>
    </row>
    <row r="19" spans="1:3" x14ac:dyDescent="0.3">
      <c r="A19" s="14" t="s">
        <v>49</v>
      </c>
      <c r="B19" s="14"/>
      <c r="C19" s="3">
        <f>SUM(C2:C16)</f>
        <v>601500</v>
      </c>
    </row>
    <row r="20" spans="1:3" x14ac:dyDescent="0.3">
      <c r="A20" s="14" t="s">
        <v>50</v>
      </c>
      <c r="B20" s="14"/>
      <c r="C20" s="3">
        <f>AVERAGE(C2:C16)</f>
        <v>40100</v>
      </c>
    </row>
    <row r="21" spans="1:3" x14ac:dyDescent="0.3">
      <c r="A21" s="14" t="s">
        <v>51</v>
      </c>
      <c r="B21" s="14"/>
      <c r="C21" s="3">
        <f>MIN(C2:C16)</f>
        <v>15000</v>
      </c>
    </row>
    <row r="22" spans="1:3" x14ac:dyDescent="0.3">
      <c r="A22" s="14" t="s">
        <v>52</v>
      </c>
      <c r="B22" s="14"/>
      <c r="C22" s="3">
        <f>MAX(C2:C16)</f>
        <v>62500</v>
      </c>
    </row>
    <row r="23" spans="1:3" x14ac:dyDescent="0.3">
      <c r="A23" s="14" t="s">
        <v>53</v>
      </c>
      <c r="B23" s="14"/>
      <c r="C23" s="3">
        <f>COUNT(C2:C16)</f>
        <v>15</v>
      </c>
    </row>
    <row r="25" spans="1:3" ht="15.6" x14ac:dyDescent="0.3">
      <c r="A25" s="13" t="s">
        <v>54</v>
      </c>
      <c r="B25" s="13"/>
      <c r="C25" s="13"/>
    </row>
    <row r="26" spans="1:3" x14ac:dyDescent="0.3">
      <c r="A26" s="14" t="s">
        <v>55</v>
      </c>
      <c r="B26" s="14"/>
      <c r="C26" s="3" t="str">
        <f>IF(B2&gt;10,"SATISFYING","NOT SATISFYING")</f>
        <v>SATISFYING</v>
      </c>
    </row>
    <row r="27" spans="1:3" x14ac:dyDescent="0.3">
      <c r="A27" s="14" t="s">
        <v>56</v>
      </c>
      <c r="B27" s="14"/>
      <c r="C27" s="3" t="b">
        <f>AND(B2&gt;18,E2="HEALTH")</f>
        <v>1</v>
      </c>
    </row>
    <row r="28" spans="1:3" x14ac:dyDescent="0.3">
      <c r="A28" s="14" t="s">
        <v>57</v>
      </c>
      <c r="B28" s="14"/>
      <c r="C28" s="3" t="b">
        <f>OR(D4&lt;200000,B4="camera")</f>
        <v>1</v>
      </c>
    </row>
    <row r="30" spans="1:3" ht="15.6" x14ac:dyDescent="0.3">
      <c r="A30" s="10" t="s">
        <v>58</v>
      </c>
      <c r="B30" s="11"/>
      <c r="C30" s="12"/>
    </row>
    <row r="31" spans="1:3" x14ac:dyDescent="0.3">
      <c r="A31" s="14" t="s">
        <v>59</v>
      </c>
      <c r="B31" s="14"/>
      <c r="C31" s="3" t="str">
        <f>LEFT(E10,3)</f>
        <v>Hea</v>
      </c>
    </row>
    <row r="32" spans="1:3" x14ac:dyDescent="0.3">
      <c r="A32" s="14" t="s">
        <v>60</v>
      </c>
      <c r="B32" s="14"/>
      <c r="C32" s="3" t="str">
        <f>RIGHT(E10,3)</f>
        <v>lth</v>
      </c>
    </row>
    <row r="33" spans="1:3" x14ac:dyDescent="0.3">
      <c r="A33" s="14" t="s">
        <v>61</v>
      </c>
      <c r="B33" s="14"/>
      <c r="C33" s="3" t="str">
        <f>MID(E10,3,3)</f>
        <v>alt</v>
      </c>
    </row>
    <row r="34" spans="1:3" x14ac:dyDescent="0.3">
      <c r="A34" s="14" t="s">
        <v>62</v>
      </c>
      <c r="B34" s="14"/>
      <c r="C34" s="3" t="str">
        <f>CONCATENATE(A10," ",E10)</f>
        <v>P1009 Health</v>
      </c>
    </row>
    <row r="36" spans="1:3" ht="15.6" x14ac:dyDescent="0.3">
      <c r="A36" s="13" t="s">
        <v>63</v>
      </c>
      <c r="B36" s="13"/>
      <c r="C36" s="13"/>
    </row>
    <row r="37" spans="1:3" x14ac:dyDescent="0.3">
      <c r="A37" s="14" t="s">
        <v>64</v>
      </c>
      <c r="B37" s="14"/>
      <c r="C37" s="5">
        <f ca="1">TODAY()</f>
        <v>46077</v>
      </c>
    </row>
    <row r="38" spans="1:3" x14ac:dyDescent="0.3">
      <c r="A38" s="14" t="s">
        <v>65</v>
      </c>
      <c r="B38" s="14"/>
      <c r="C38" s="6">
        <f ca="1">NOW()</f>
        <v>46077.759611921298</v>
      </c>
    </row>
    <row r="39" spans="1:3" x14ac:dyDescent="0.3">
      <c r="A39" s="14" t="s">
        <v>66</v>
      </c>
      <c r="B39" s="14"/>
      <c r="C39" s="3"/>
    </row>
    <row r="41" spans="1:3" ht="15.6" x14ac:dyDescent="0.3">
      <c r="A41" s="10" t="s">
        <v>67</v>
      </c>
      <c r="B41" s="11"/>
      <c r="C41" s="12"/>
    </row>
    <row r="42" spans="1:3" x14ac:dyDescent="0.3">
      <c r="A42" s="14" t="s">
        <v>68</v>
      </c>
      <c r="B42" s="14"/>
      <c r="C42" s="7">
        <f>PMT(5%/12, 60, C19)</f>
        <v>-11351.047036872576</v>
      </c>
    </row>
    <row r="43" spans="1:3" x14ac:dyDescent="0.3">
      <c r="A43" s="14" t="s">
        <v>69</v>
      </c>
      <c r="B43" s="14"/>
      <c r="C43" s="7">
        <f>NPV(5%,C2:C16)</f>
        <v>386222.85908425477</v>
      </c>
    </row>
    <row r="45" spans="1:3" ht="15.6" x14ac:dyDescent="0.3">
      <c r="A45" s="13" t="s">
        <v>70</v>
      </c>
      <c r="B45" s="13"/>
      <c r="C45" s="13"/>
    </row>
    <row r="46" spans="1:3" x14ac:dyDescent="0.3">
      <c r="A46" s="14" t="s">
        <v>71</v>
      </c>
      <c r="B46" s="14"/>
      <c r="C46" s="3">
        <f>VLOOKUP(A2,A2:E16,4,FALSE)</f>
        <v>0</v>
      </c>
    </row>
    <row r="47" spans="1:3" x14ac:dyDescent="0.3">
      <c r="A47" s="14" t="s">
        <v>72</v>
      </c>
      <c r="B47" s="14"/>
      <c r="C47" s="3">
        <f>HLOOKUP(B2,A2:E16,4,FALSE)</f>
        <v>18</v>
      </c>
    </row>
    <row r="48" spans="1:3" x14ac:dyDescent="0.3">
      <c r="A48" s="14" t="s">
        <v>73</v>
      </c>
      <c r="B48" s="14"/>
      <c r="C48" s="3"/>
    </row>
    <row r="50" spans="1:3" ht="15.6" x14ac:dyDescent="0.3">
      <c r="A50" s="13" t="s">
        <v>74</v>
      </c>
      <c r="B50" s="13"/>
      <c r="C50" s="13"/>
    </row>
    <row r="51" spans="1:3" x14ac:dyDescent="0.3">
      <c r="A51" s="14" t="s">
        <v>75</v>
      </c>
      <c r="B51" s="14"/>
      <c r="C51" s="3">
        <f>AVERAGE(C2:C16)</f>
        <v>40100</v>
      </c>
    </row>
    <row r="52" spans="1:3" x14ac:dyDescent="0.3">
      <c r="A52" s="14" t="s">
        <v>76</v>
      </c>
      <c r="B52" s="14"/>
      <c r="C52" s="3">
        <f>MEDIAN(C2:C16)</f>
        <v>40100</v>
      </c>
    </row>
    <row r="53" spans="1:3" x14ac:dyDescent="0.3">
      <c r="A53" s="14" t="s">
        <v>77</v>
      </c>
      <c r="B53" s="14"/>
      <c r="C53" s="3"/>
    </row>
    <row r="54" spans="1:3" x14ac:dyDescent="0.3">
      <c r="A54" s="14" t="s">
        <v>78</v>
      </c>
      <c r="B54" s="14"/>
      <c r="C54" s="3">
        <f>STDEV(C2:C16)</f>
        <v>14670.183561029007</v>
      </c>
    </row>
    <row r="55" spans="1:3" x14ac:dyDescent="0.3">
      <c r="A55" s="14" t="s">
        <v>79</v>
      </c>
      <c r="B55" s="14"/>
      <c r="C55" s="3">
        <f>CORREL(B2:B16,D2:D16)</f>
        <v>-0.26706497022318954</v>
      </c>
    </row>
  </sheetData>
  <mergeCells count="32">
    <mergeCell ref="A54:B54"/>
    <mergeCell ref="A55:B55"/>
    <mergeCell ref="A47:B47"/>
    <mergeCell ref="A48:B48"/>
    <mergeCell ref="A50:C50"/>
    <mergeCell ref="A51:B51"/>
    <mergeCell ref="A52:B52"/>
    <mergeCell ref="A53:B53"/>
    <mergeCell ref="A46:B46"/>
    <mergeCell ref="A32:B32"/>
    <mergeCell ref="A33:B33"/>
    <mergeCell ref="A34:B34"/>
    <mergeCell ref="A36:C36"/>
    <mergeCell ref="A37:B37"/>
    <mergeCell ref="A38:B38"/>
    <mergeCell ref="A39:B39"/>
    <mergeCell ref="A41:C41"/>
    <mergeCell ref="A42:B42"/>
    <mergeCell ref="A43:B43"/>
    <mergeCell ref="A45:C45"/>
    <mergeCell ref="A31:B31"/>
    <mergeCell ref="A18:C18"/>
    <mergeCell ref="A19:B19"/>
    <mergeCell ref="A20:B20"/>
    <mergeCell ref="A21:B21"/>
    <mergeCell ref="A22:B22"/>
    <mergeCell ref="A23:B23"/>
    <mergeCell ref="A25:C25"/>
    <mergeCell ref="A26:B26"/>
    <mergeCell ref="A27:B27"/>
    <mergeCell ref="A28:B28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MARKETING</vt:lpstr>
      <vt:lpstr>FINANCE</vt:lpstr>
      <vt:lpstr>HR</vt:lpstr>
      <vt:lpstr>INSURANCE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Richa Pandey</cp:lastModifiedBy>
  <dcterms:created xsi:type="dcterms:W3CDTF">2026-02-14T09:10:13Z</dcterms:created>
  <dcterms:modified xsi:type="dcterms:W3CDTF">2026-02-24T12:44:52Z</dcterms:modified>
</cp:coreProperties>
</file>